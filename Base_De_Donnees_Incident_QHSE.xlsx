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9240AB6-B850-4F89-9613-07BE9A4D05D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se_Incidents_QHSE" sheetId="1" r:id="rId1"/>
    <sheet name="Tableau de bord" sheetId="5" r:id="rId2"/>
    <sheet name="TCD" sheetId="4" state="hidden" r:id="rId3"/>
  </sheets>
  <definedNames>
    <definedName name="_xlnm._FilterDatabase" localSheetId="0" hidden="1">Base_Incidents_QHSE!$A$1:$M$501</definedName>
    <definedName name="Segment_Departement">#N/A</definedName>
    <definedName name="Segment_Mois">#N/A</definedName>
    <definedName name="Segment_Site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98" i="1" l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D21" i="4"/>
  <c r="D22" i="4" s="1"/>
  <c r="A5" i="4"/>
  <c r="B21" i="4"/>
  <c r="H12" i="4"/>
  <c r="E4" i="4"/>
  <c r="A12" i="4"/>
</calcChain>
</file>

<file path=xl/sharedStrings.xml><?xml version="1.0" encoding="utf-8"?>
<sst xmlns="http://schemas.openxmlformats.org/spreadsheetml/2006/main" count="4601" uniqueCount="834">
  <si>
    <t>ID_Incident</t>
  </si>
  <si>
    <t>Date</t>
  </si>
  <si>
    <t>Mois</t>
  </si>
  <si>
    <t>Site</t>
  </si>
  <si>
    <t>Departement</t>
  </si>
  <si>
    <t>Type_Evenement</t>
  </si>
  <si>
    <t>Gravite</t>
  </si>
  <si>
    <t>Cause_Racine</t>
  </si>
  <si>
    <t>Jours_Arret</t>
  </si>
  <si>
    <t>Cout_Estime_FCFA</t>
  </si>
  <si>
    <t>Statut_Action</t>
  </si>
  <si>
    <t>Responsable_Traitement</t>
  </si>
  <si>
    <t>Score_Audit_5S</t>
  </si>
  <si>
    <t>2025-10-01</t>
  </si>
  <si>
    <t>Site Agricole Aboisso</t>
  </si>
  <si>
    <t>Administration</t>
  </si>
  <si>
    <t>Accident du Travail (avec arrêt)</t>
  </si>
  <si>
    <t>Environnement de travail (Sol glissant, éclairage)</t>
  </si>
  <si>
    <t>Clôturée</t>
  </si>
  <si>
    <t>Service QHSE</t>
  </si>
  <si>
    <t>QHSE-2026-002</t>
  </si>
  <si>
    <t>2025-10-02</t>
  </si>
  <si>
    <t>Usine Principale Abidjan</t>
  </si>
  <si>
    <t>Production</t>
  </si>
  <si>
    <t>Défaut de maintenance préventive</t>
  </si>
  <si>
    <t>Maintenance</t>
  </si>
  <si>
    <t>QHSE-2026-003</t>
  </si>
  <si>
    <t>Entrepôt Logistique San Pedro</t>
  </si>
  <si>
    <t>Incident Matériel / Dégât</t>
  </si>
  <si>
    <t>Organisation du travail / Charge</t>
  </si>
  <si>
    <t>En cours</t>
  </si>
  <si>
    <t>Logistique</t>
  </si>
  <si>
    <t>QHSE-2026-004</t>
  </si>
  <si>
    <t>Agence Secondaire Yamoussoukro</t>
  </si>
  <si>
    <t>QHSE-2026-005</t>
  </si>
  <si>
    <t>2025-10-04</t>
  </si>
  <si>
    <t>Sécurité / Gardiennage</t>
  </si>
  <si>
    <t>Accident du Travail (sans arrêt)</t>
  </si>
  <si>
    <t>QHSE-2026-006</t>
  </si>
  <si>
    <t>Logistique / Entrepôt</t>
  </si>
  <si>
    <t>Presqu'accident (Near Miss)</t>
  </si>
  <si>
    <t>Planifiée</t>
  </si>
  <si>
    <t>QHSE-2026-007</t>
  </si>
  <si>
    <t>2025-10-05</t>
  </si>
  <si>
    <t>QHSE-2026-008</t>
  </si>
  <si>
    <t>Situation Dangereuse</t>
  </si>
  <si>
    <t>Ressources Humaines</t>
  </si>
  <si>
    <t>QHSE-2026-009</t>
  </si>
  <si>
    <t>2025-10-06</t>
  </si>
  <si>
    <t>Défaillance technique / Matériel usé</t>
  </si>
  <si>
    <t>QHSE-2026-010</t>
  </si>
  <si>
    <t>2025-10-09</t>
  </si>
  <si>
    <t>QHSE-2026-011</t>
  </si>
  <si>
    <t>Manque de formation / Sensibilisation</t>
  </si>
  <si>
    <t>QHSE-2026-012</t>
  </si>
  <si>
    <t>2025-10-10</t>
  </si>
  <si>
    <t>QHSE-2026-013</t>
  </si>
  <si>
    <t>2025-10-13</t>
  </si>
  <si>
    <t>Unité Transformation Bouaké</t>
  </si>
  <si>
    <t>QHSE-2026-014</t>
  </si>
  <si>
    <t>Conditionnement</t>
  </si>
  <si>
    <t>QHSE-2026-015</t>
  </si>
  <si>
    <t>2025-10-14</t>
  </si>
  <si>
    <t>QHSE-2026-016</t>
  </si>
  <si>
    <t>2025-10-15</t>
  </si>
  <si>
    <t>QHSE-2026-017</t>
  </si>
  <si>
    <t>QHSE-2026-018</t>
  </si>
  <si>
    <t>2025-10-16</t>
  </si>
  <si>
    <t>QHSE-2026-019</t>
  </si>
  <si>
    <t>2025-10-17</t>
  </si>
  <si>
    <t>QHSE-2026-020</t>
  </si>
  <si>
    <t>2025-10-18</t>
  </si>
  <si>
    <t>Non-conformité Environnementale</t>
  </si>
  <si>
    <t>QHSE-2026-021</t>
  </si>
  <si>
    <t>2025-10-20</t>
  </si>
  <si>
    <t>QHSE-2026-022</t>
  </si>
  <si>
    <t>2025-10-21</t>
  </si>
  <si>
    <t>Non-respect des consignes de sécurité / EPI</t>
  </si>
  <si>
    <t>QHSE-2026-023</t>
  </si>
  <si>
    <t>QHSE-2026-024</t>
  </si>
  <si>
    <t>2025-10-22</t>
  </si>
  <si>
    <t>QHSE-2026-025</t>
  </si>
  <si>
    <t>QHSE-2026-026</t>
  </si>
  <si>
    <t>2025-10-23</t>
  </si>
  <si>
    <t>QHSE-2026-027</t>
  </si>
  <si>
    <t>2025-10-26</t>
  </si>
  <si>
    <t>QHSE-2026-028</t>
  </si>
  <si>
    <t>2025-10-27</t>
  </si>
  <si>
    <t>QHSE-2026-029</t>
  </si>
  <si>
    <t>2025-10-28</t>
  </si>
  <si>
    <t>QHSE-2026-030</t>
  </si>
  <si>
    <t>QHSE-2026-031</t>
  </si>
  <si>
    <t>2025-10-29</t>
  </si>
  <si>
    <t>QHSE-2026-032</t>
  </si>
  <si>
    <t>2025-11-02</t>
  </si>
  <si>
    <t>QHSE-2026-033</t>
  </si>
  <si>
    <t>Erreur humaine / Inattention</t>
  </si>
  <si>
    <t>QHSE-2026-034</t>
  </si>
  <si>
    <t>2025-11-04</t>
  </si>
  <si>
    <t>QHSE-2026-035</t>
  </si>
  <si>
    <t>QHSE-2026-036</t>
  </si>
  <si>
    <t>En retard</t>
  </si>
  <si>
    <t>QHSE-2026-037</t>
  </si>
  <si>
    <t>2025-11-05</t>
  </si>
  <si>
    <t>QHSE-2026-038</t>
  </si>
  <si>
    <t>QHSE-2026-039</t>
  </si>
  <si>
    <t>2025-11-06</t>
  </si>
  <si>
    <t>QHSE-2026-040</t>
  </si>
  <si>
    <t>QHSE-2026-041</t>
  </si>
  <si>
    <t>2025-11-07</t>
  </si>
  <si>
    <t>QHSE-2026-042</t>
  </si>
  <si>
    <t>2025-11-08</t>
  </si>
  <si>
    <t>QHSE-2026-043</t>
  </si>
  <si>
    <t>QHSE-2026-044</t>
  </si>
  <si>
    <t>QHSE-2026-045</t>
  </si>
  <si>
    <t>2025-11-10</t>
  </si>
  <si>
    <t>QHSE-2026-046</t>
  </si>
  <si>
    <t>QHSE-2026-047</t>
  </si>
  <si>
    <t>2025-11-11</t>
  </si>
  <si>
    <t>QHSE-2026-048</t>
  </si>
  <si>
    <t>2025-11-13</t>
  </si>
  <si>
    <t>QHSE-2026-049</t>
  </si>
  <si>
    <t>QHSE-2026-050</t>
  </si>
  <si>
    <t>2025-11-14</t>
  </si>
  <si>
    <t>QHSE-2026-051</t>
  </si>
  <si>
    <t>2025-11-15</t>
  </si>
  <si>
    <t>QHSE-2026-052</t>
  </si>
  <si>
    <t>2025-11-16</t>
  </si>
  <si>
    <t>QHSE-2026-053</t>
  </si>
  <si>
    <t>QHSE-2026-054</t>
  </si>
  <si>
    <t>2025-11-17</t>
  </si>
  <si>
    <t>QHSE-2026-055</t>
  </si>
  <si>
    <t>QHSE-2026-056</t>
  </si>
  <si>
    <t>2025-11-18</t>
  </si>
  <si>
    <t>QHSE-2026-057</t>
  </si>
  <si>
    <t>QHSE-2026-058</t>
  </si>
  <si>
    <t>2025-11-19</t>
  </si>
  <si>
    <t>QHSE-2026-059</t>
  </si>
  <si>
    <t>2025-11-20</t>
  </si>
  <si>
    <t>QHSE-2026-060</t>
  </si>
  <si>
    <t>QHSE-2026-061</t>
  </si>
  <si>
    <t>QHSE-2026-062</t>
  </si>
  <si>
    <t>2025-11-21</t>
  </si>
  <si>
    <t>QHSE-2026-063</t>
  </si>
  <si>
    <t>QHSE-2026-064</t>
  </si>
  <si>
    <t>2025-11-22</t>
  </si>
  <si>
    <t>QHSE-2026-065</t>
  </si>
  <si>
    <t>QHSE-2026-066</t>
  </si>
  <si>
    <t>QHSE-2026-067</t>
  </si>
  <si>
    <t>QHSE-2026-068</t>
  </si>
  <si>
    <t>2025-11-23</t>
  </si>
  <si>
    <t>QHSE-2026-069</t>
  </si>
  <si>
    <t>QHSE-2026-070</t>
  </si>
  <si>
    <t>QHSE-2026-071</t>
  </si>
  <si>
    <t>QHSE-2026-072</t>
  </si>
  <si>
    <t>QHSE-2026-073</t>
  </si>
  <si>
    <t>2025-11-24</t>
  </si>
  <si>
    <t>QHSE-2026-074</t>
  </si>
  <si>
    <t>2025-11-27</t>
  </si>
  <si>
    <t>QHSE-2026-075</t>
  </si>
  <si>
    <t>QHSE-2026-076</t>
  </si>
  <si>
    <t>QHSE-2026-077</t>
  </si>
  <si>
    <t>QHSE-2026-078</t>
  </si>
  <si>
    <t>2025-11-28</t>
  </si>
  <si>
    <t>QHSE-2026-079</t>
  </si>
  <si>
    <t>2025-11-29</t>
  </si>
  <si>
    <t>QHSE-2026-080</t>
  </si>
  <si>
    <t>QHSE-2026-081</t>
  </si>
  <si>
    <t>2025-12-01</t>
  </si>
  <si>
    <t>QHSE-2026-082</t>
  </si>
  <si>
    <t>QHSE-2026-083</t>
  </si>
  <si>
    <t>2025-12-02</t>
  </si>
  <si>
    <t>QHSE-2026-084</t>
  </si>
  <si>
    <t>QHSE-2026-085</t>
  </si>
  <si>
    <t>QHSE-2026-086</t>
  </si>
  <si>
    <t>2025-12-04</t>
  </si>
  <si>
    <t>QHSE-2026-087</t>
  </si>
  <si>
    <t>2025-12-05</t>
  </si>
  <si>
    <t>QHSE-2026-088</t>
  </si>
  <si>
    <t>2025-12-07</t>
  </si>
  <si>
    <t>QHSE-2026-089</t>
  </si>
  <si>
    <t>2025-12-08</t>
  </si>
  <si>
    <t>QHSE-2026-090</t>
  </si>
  <si>
    <t>QHSE-2026-091</t>
  </si>
  <si>
    <t>2025-12-11</t>
  </si>
  <si>
    <t>QHSE-2026-092</t>
  </si>
  <si>
    <t>2025-12-14</t>
  </si>
  <si>
    <t>QHSE-2026-093</t>
  </si>
  <si>
    <t>2025-12-15</t>
  </si>
  <si>
    <t>QHSE-2026-094</t>
  </si>
  <si>
    <t>2025-12-20</t>
  </si>
  <si>
    <t>QHSE-2026-095</t>
  </si>
  <si>
    <t>QHSE-2026-096</t>
  </si>
  <si>
    <t>QHSE-2026-097</t>
  </si>
  <si>
    <t>2025-12-25</t>
  </si>
  <si>
    <t>QHSE-2026-098</t>
  </si>
  <si>
    <t>QHSE-2026-099</t>
  </si>
  <si>
    <t>2025-12-27</t>
  </si>
  <si>
    <t>QHSE-2026-100</t>
  </si>
  <si>
    <t>2025-12-28</t>
  </si>
  <si>
    <t>QHSE-2026-101</t>
  </si>
  <si>
    <t>QHSE-2026-102</t>
  </si>
  <si>
    <t>2025-12-31</t>
  </si>
  <si>
    <t>QHSE-2026-103</t>
  </si>
  <si>
    <t>QHSE-2026-104</t>
  </si>
  <si>
    <t>QHSE-2026-105</t>
  </si>
  <si>
    <t>2026-01-02</t>
  </si>
  <si>
    <t>QHSE-2026-106</t>
  </si>
  <si>
    <t>2026-01-03</t>
  </si>
  <si>
    <t>QHSE-2026-107</t>
  </si>
  <si>
    <t>2026-01-04</t>
  </si>
  <si>
    <t>QHSE-2026-108</t>
  </si>
  <si>
    <t>QHSE-2026-109</t>
  </si>
  <si>
    <t>QHSE-2026-110</t>
  </si>
  <si>
    <t>QHSE-2026-111</t>
  </si>
  <si>
    <t>2026-01-05</t>
  </si>
  <si>
    <t>QHSE-2026-112</t>
  </si>
  <si>
    <t>QHSE-2026-113</t>
  </si>
  <si>
    <t>2026-01-06</t>
  </si>
  <si>
    <t>QHSE-2026-114</t>
  </si>
  <si>
    <t>2026-01-07</t>
  </si>
  <si>
    <t>QHSE-2026-115</t>
  </si>
  <si>
    <t>QHSE-2026-116</t>
  </si>
  <si>
    <t>QHSE-2026-117</t>
  </si>
  <si>
    <t>QHSE-2026-118</t>
  </si>
  <si>
    <t>QHSE-2026-119</t>
  </si>
  <si>
    <t>QHSE-2026-120</t>
  </si>
  <si>
    <t>2026-01-08</t>
  </si>
  <si>
    <t>QHSE-2026-121</t>
  </si>
  <si>
    <t>QHSE-2026-122</t>
  </si>
  <si>
    <t>QHSE-2026-123</t>
  </si>
  <si>
    <t>2026-01-09</t>
  </si>
  <si>
    <t>QHSE-2026-124</t>
  </si>
  <si>
    <t>QHSE-2026-125</t>
  </si>
  <si>
    <t>QHSE-2026-126</t>
  </si>
  <si>
    <t>2026-01-11</t>
  </si>
  <si>
    <t>QHSE-2026-127</t>
  </si>
  <si>
    <t>QHSE-2026-128</t>
  </si>
  <si>
    <t>QHSE-2026-129</t>
  </si>
  <si>
    <t>2026-01-12</t>
  </si>
  <si>
    <t>QHSE-2026-130</t>
  </si>
  <si>
    <t>QHSE-2026-131</t>
  </si>
  <si>
    <t>2026-01-14</t>
  </si>
  <si>
    <t>QHSE-2026-132</t>
  </si>
  <si>
    <t>QHSE-2026-133</t>
  </si>
  <si>
    <t>2026-01-15</t>
  </si>
  <si>
    <t>QHSE-2026-134</t>
  </si>
  <si>
    <t>2026-01-16</t>
  </si>
  <si>
    <t>QHSE-2026-135</t>
  </si>
  <si>
    <t>QHSE-2026-136</t>
  </si>
  <si>
    <t>2026-01-20</t>
  </si>
  <si>
    <t>QHSE-2026-137</t>
  </si>
  <si>
    <t>QHSE-2026-138</t>
  </si>
  <si>
    <t>2026-01-21</t>
  </si>
  <si>
    <t>QHSE-2026-139</t>
  </si>
  <si>
    <t>QHSE-2026-140</t>
  </si>
  <si>
    <t>QHSE-2026-141</t>
  </si>
  <si>
    <t>QHSE-2026-142</t>
  </si>
  <si>
    <t>QHSE-2026-143</t>
  </si>
  <si>
    <t>2026-01-22</t>
  </si>
  <si>
    <t>QHSE-2026-144</t>
  </si>
  <si>
    <t>2026-01-24</t>
  </si>
  <si>
    <t>QHSE-2026-145</t>
  </si>
  <si>
    <t>QHSE-2026-146</t>
  </si>
  <si>
    <t>QHSE-2026-147</t>
  </si>
  <si>
    <t>2026-01-25</t>
  </si>
  <si>
    <t>QHSE-2026-148</t>
  </si>
  <si>
    <t>2026-01-26</t>
  </si>
  <si>
    <t>QHSE-2026-149</t>
  </si>
  <si>
    <t>2026-01-28</t>
  </si>
  <si>
    <t>QHSE-2026-150</t>
  </si>
  <si>
    <t>QHSE-2026-151</t>
  </si>
  <si>
    <t>2026-01-29</t>
  </si>
  <si>
    <t>QHSE-2026-152</t>
  </si>
  <si>
    <t>2026-01-30</t>
  </si>
  <si>
    <t>QHSE-2026-153</t>
  </si>
  <si>
    <t>QHSE-2026-154</t>
  </si>
  <si>
    <t>2026-01-31</t>
  </si>
  <si>
    <t>QHSE-2026-155</t>
  </si>
  <si>
    <t>2026-02-01</t>
  </si>
  <si>
    <t>QHSE-2026-156</t>
  </si>
  <si>
    <t>QHSE-2026-157</t>
  </si>
  <si>
    <t>2026-02-02</t>
  </si>
  <si>
    <t>QHSE-2026-158</t>
  </si>
  <si>
    <t>2026-02-03</t>
  </si>
  <si>
    <t>QHSE-2026-159</t>
  </si>
  <si>
    <t>QHSE-2026-160</t>
  </si>
  <si>
    <t>2026-02-04</t>
  </si>
  <si>
    <t>QHSE-2026-161</t>
  </si>
  <si>
    <t>QHSE-2026-162</t>
  </si>
  <si>
    <t>2026-02-05</t>
  </si>
  <si>
    <t>QHSE-2026-163</t>
  </si>
  <si>
    <t>QHSE-2026-164</t>
  </si>
  <si>
    <t>QHSE-2026-165</t>
  </si>
  <si>
    <t>QHSE-2026-166</t>
  </si>
  <si>
    <t>2026-02-06</t>
  </si>
  <si>
    <t>QHSE-2026-167</t>
  </si>
  <si>
    <t>QHSE-2026-168</t>
  </si>
  <si>
    <t>QHSE-2026-169</t>
  </si>
  <si>
    <t>2026-02-07</t>
  </si>
  <si>
    <t>QHSE-2026-170</t>
  </si>
  <si>
    <t>QHSE-2026-171</t>
  </si>
  <si>
    <t>2026-02-08</t>
  </si>
  <si>
    <t>QHSE-2026-172</t>
  </si>
  <si>
    <t>QHSE-2026-173</t>
  </si>
  <si>
    <t>QHSE-2026-174</t>
  </si>
  <si>
    <t>QHSE-2026-175</t>
  </si>
  <si>
    <t>2026-02-11</t>
  </si>
  <si>
    <t>QHSE-2026-176</t>
  </si>
  <si>
    <t>2026-02-12</t>
  </si>
  <si>
    <t>QHSE-2026-177</t>
  </si>
  <si>
    <t>QHSE-2026-178</t>
  </si>
  <si>
    <t>QHSE-2026-179</t>
  </si>
  <si>
    <t>2026-02-13</t>
  </si>
  <si>
    <t>QHSE-2026-180</t>
  </si>
  <si>
    <t>2026-02-14</t>
  </si>
  <si>
    <t>QHSE-2026-181</t>
  </si>
  <si>
    <t>2026-02-16</t>
  </si>
  <si>
    <t>QHSE-2026-182</t>
  </si>
  <si>
    <t>2026-02-17</t>
  </si>
  <si>
    <t>QHSE-2026-183</t>
  </si>
  <si>
    <t>2026-02-19</t>
  </si>
  <si>
    <t>QHSE-2026-184</t>
  </si>
  <si>
    <t>2026-02-20</t>
  </si>
  <si>
    <t>QHSE-2026-185</t>
  </si>
  <si>
    <t>QHSE-2026-186</t>
  </si>
  <si>
    <t>2026-02-21</t>
  </si>
  <si>
    <t>QHSE-2026-187</t>
  </si>
  <si>
    <t>QHSE-2026-188</t>
  </si>
  <si>
    <t>QHSE-2026-189</t>
  </si>
  <si>
    <t>QHSE-2026-190</t>
  </si>
  <si>
    <t>2026-02-22</t>
  </si>
  <si>
    <t>QHSE-2026-191</t>
  </si>
  <si>
    <t>2026-02-24</t>
  </si>
  <si>
    <t>QHSE-2026-192</t>
  </si>
  <si>
    <t>QHSE-2026-193</t>
  </si>
  <si>
    <t>QHSE-2026-194</t>
  </si>
  <si>
    <t>QHSE-2026-195</t>
  </si>
  <si>
    <t>QHSE-2026-196</t>
  </si>
  <si>
    <t>2026-02-25</t>
  </si>
  <si>
    <t>QHSE-2026-197</t>
  </si>
  <si>
    <t>QHSE-2026-198</t>
  </si>
  <si>
    <t>2026-02-27</t>
  </si>
  <si>
    <t>QHSE-2026-199</t>
  </si>
  <si>
    <t>QHSE-2026-200</t>
  </si>
  <si>
    <t>2026-02-28</t>
  </si>
  <si>
    <t>QHSE-2026-201</t>
  </si>
  <si>
    <t>QHSE-2026-202</t>
  </si>
  <si>
    <t>2026-03-01</t>
  </si>
  <si>
    <t>QHSE-2026-203</t>
  </si>
  <si>
    <t>QHSE-2026-204</t>
  </si>
  <si>
    <t>QHSE-2026-205</t>
  </si>
  <si>
    <t>2026-03-02</t>
  </si>
  <si>
    <t>QHSE-2026-206</t>
  </si>
  <si>
    <t>QHSE-2026-207</t>
  </si>
  <si>
    <t>2026-03-03</t>
  </si>
  <si>
    <t>QHSE-2026-208</t>
  </si>
  <si>
    <t>2026-03-04</t>
  </si>
  <si>
    <t>QHSE-2026-209</t>
  </si>
  <si>
    <t>2026-03-06</t>
  </si>
  <si>
    <t>QHSE-2026-210</t>
  </si>
  <si>
    <t>2026-03-07</t>
  </si>
  <si>
    <t>QHSE-2026-211</t>
  </si>
  <si>
    <t>QHSE-2026-212</t>
  </si>
  <si>
    <t>QHSE-2026-213</t>
  </si>
  <si>
    <t>2026-03-09</t>
  </si>
  <si>
    <t>QHSE-2026-214</t>
  </si>
  <si>
    <t>QHSE-2026-215</t>
  </si>
  <si>
    <t>QHSE-2026-216</t>
  </si>
  <si>
    <t>QHSE-2026-217</t>
  </si>
  <si>
    <t>2026-03-10</t>
  </si>
  <si>
    <t>QHSE-2026-218</t>
  </si>
  <si>
    <t>QHSE-2026-219</t>
  </si>
  <si>
    <t>QHSE-2026-220</t>
  </si>
  <si>
    <t>QHSE-2026-221</t>
  </si>
  <si>
    <t>2026-03-11</t>
  </si>
  <si>
    <t>QHSE-2026-222</t>
  </si>
  <si>
    <t>2026-03-12</t>
  </si>
  <si>
    <t>QHSE-2026-223</t>
  </si>
  <si>
    <t>QHSE-2026-224</t>
  </si>
  <si>
    <t>2026-03-14</t>
  </si>
  <si>
    <t>QHSE-2026-225</t>
  </si>
  <si>
    <t>2026-03-16</t>
  </si>
  <si>
    <t>QHSE-2026-226</t>
  </si>
  <si>
    <t>2026-03-18</t>
  </si>
  <si>
    <t>QHSE-2026-227</t>
  </si>
  <si>
    <t>2026-03-19</t>
  </si>
  <si>
    <t>QHSE-2026-228</t>
  </si>
  <si>
    <t>QHSE-2026-229</t>
  </si>
  <si>
    <t>QHSE-2026-230</t>
  </si>
  <si>
    <t>QHSE-2026-231</t>
  </si>
  <si>
    <t>2026-03-20</t>
  </si>
  <si>
    <t>QHSE-2026-232</t>
  </si>
  <si>
    <t>2026-03-21</t>
  </si>
  <si>
    <t>QHSE-2026-233</t>
  </si>
  <si>
    <t>QHSE-2026-234</t>
  </si>
  <si>
    <t>QHSE-2026-235</t>
  </si>
  <si>
    <t>QHSE-2026-236</t>
  </si>
  <si>
    <t>2026-03-22</t>
  </si>
  <si>
    <t>QHSE-2026-237</t>
  </si>
  <si>
    <t>2026-03-23</t>
  </si>
  <si>
    <t>QHSE-2026-238</t>
  </si>
  <si>
    <t>2026-03-24</t>
  </si>
  <si>
    <t>QHSE-2026-239</t>
  </si>
  <si>
    <t>2026-03-25</t>
  </si>
  <si>
    <t>QHSE-2026-240</t>
  </si>
  <si>
    <t>QHSE-2026-241</t>
  </si>
  <si>
    <t>2026-03-28</t>
  </si>
  <si>
    <t>QHSE-2026-242</t>
  </si>
  <si>
    <t>2026-03-29</t>
  </si>
  <si>
    <t>QHSE-2026-243</t>
  </si>
  <si>
    <t>QHSE-2026-244</t>
  </si>
  <si>
    <t>QHSE-2026-245</t>
  </si>
  <si>
    <t>2026-03-30</t>
  </si>
  <si>
    <t>QHSE-2026-246</t>
  </si>
  <si>
    <t>2026-04-02</t>
  </si>
  <si>
    <t>QHSE-2026-247</t>
  </si>
  <si>
    <t>2026-04-03</t>
  </si>
  <si>
    <t>QHSE-2026-248</t>
  </si>
  <si>
    <t>2026-04-04</t>
  </si>
  <si>
    <t>QHSE-2026-249</t>
  </si>
  <si>
    <t>2026-04-05</t>
  </si>
  <si>
    <t>QHSE-2026-250</t>
  </si>
  <si>
    <t>QHSE-2026-251</t>
  </si>
  <si>
    <t>QHSE-2026-252</t>
  </si>
  <si>
    <t>2026-04-06</t>
  </si>
  <si>
    <t>QHSE-2026-253</t>
  </si>
  <si>
    <t>QHSE-2026-254</t>
  </si>
  <si>
    <t>QHSE-2026-255</t>
  </si>
  <si>
    <t>2026-04-07</t>
  </si>
  <si>
    <t>QHSE-2026-256</t>
  </si>
  <si>
    <t>QHSE-2026-257</t>
  </si>
  <si>
    <t>2026-04-08</t>
  </si>
  <si>
    <t>QHSE-2026-258</t>
  </si>
  <si>
    <t>QHSE-2026-259</t>
  </si>
  <si>
    <t>QHSE-2026-260</t>
  </si>
  <si>
    <t>QHSE-2026-261</t>
  </si>
  <si>
    <t>2026-04-09</t>
  </si>
  <si>
    <t>QHSE-2026-262</t>
  </si>
  <si>
    <t>QHSE-2026-263</t>
  </si>
  <si>
    <t>2026-04-10</t>
  </si>
  <si>
    <t>QHSE-2026-264</t>
  </si>
  <si>
    <t>QHSE-2026-265</t>
  </si>
  <si>
    <t>QHSE-2026-266</t>
  </si>
  <si>
    <t>2026-04-12</t>
  </si>
  <si>
    <t>QHSE-2026-267</t>
  </si>
  <si>
    <t>2026-04-13</t>
  </si>
  <si>
    <t>QHSE-2026-268</t>
  </si>
  <si>
    <t>2026-04-14</t>
  </si>
  <si>
    <t>QHSE-2026-269</t>
  </si>
  <si>
    <t>2026-04-16</t>
  </si>
  <si>
    <t>QHSE-2026-270</t>
  </si>
  <si>
    <t>QHSE-2026-271</t>
  </si>
  <si>
    <t>QHSE-2026-272</t>
  </si>
  <si>
    <t>2026-04-17</t>
  </si>
  <si>
    <t>QHSE-2026-273</t>
  </si>
  <si>
    <t>2026-04-19</t>
  </si>
  <si>
    <t>QHSE-2026-274</t>
  </si>
  <si>
    <t>QHSE-2026-275</t>
  </si>
  <si>
    <t>2026-04-20</t>
  </si>
  <si>
    <t>QHSE-2026-276</t>
  </si>
  <si>
    <t>2026-04-21</t>
  </si>
  <si>
    <t>QHSE-2026-277</t>
  </si>
  <si>
    <t>2026-04-22</t>
  </si>
  <si>
    <t>QHSE-2026-278</t>
  </si>
  <si>
    <t>2026-04-24</t>
  </si>
  <si>
    <t>QHSE-2026-279</t>
  </si>
  <si>
    <t>2026-04-25</t>
  </si>
  <si>
    <t>QHSE-2026-280</t>
  </si>
  <si>
    <t>2026-04-26</t>
  </si>
  <si>
    <t>QHSE-2026-281</t>
  </si>
  <si>
    <t>QHSE-2026-282</t>
  </si>
  <si>
    <t>QHSE-2026-283</t>
  </si>
  <si>
    <t>2026-05-01</t>
  </si>
  <si>
    <t>QHSE-2026-284</t>
  </si>
  <si>
    <t>2026-05-02</t>
  </si>
  <si>
    <t>QHSE-2026-285</t>
  </si>
  <si>
    <t>2026-05-03</t>
  </si>
  <si>
    <t>QHSE-2026-286</t>
  </si>
  <si>
    <t>QHSE-2026-287</t>
  </si>
  <si>
    <t>QHSE-2026-288</t>
  </si>
  <si>
    <t>2026-05-04</t>
  </si>
  <si>
    <t>QHSE-2026-289</t>
  </si>
  <si>
    <t>2026-05-05</t>
  </si>
  <si>
    <t>QHSE-2026-290</t>
  </si>
  <si>
    <t>2026-05-06</t>
  </si>
  <si>
    <t>QHSE-2026-291</t>
  </si>
  <si>
    <t>QHSE-2026-292</t>
  </si>
  <si>
    <t>QHSE-2026-293</t>
  </si>
  <si>
    <t>QHSE-2026-294</t>
  </si>
  <si>
    <t>2026-05-08</t>
  </si>
  <si>
    <t>QHSE-2026-295</t>
  </si>
  <si>
    <t>QHSE-2026-296</t>
  </si>
  <si>
    <t>QHSE-2026-297</t>
  </si>
  <si>
    <t>2026-05-10</t>
  </si>
  <si>
    <t>QHSE-2026-298</t>
  </si>
  <si>
    <t>QHSE-2026-299</t>
  </si>
  <si>
    <t>2026-05-11</t>
  </si>
  <si>
    <t>QHSE-2026-300</t>
  </si>
  <si>
    <t>QHSE-2026-301</t>
  </si>
  <si>
    <t>2026-05-12</t>
  </si>
  <si>
    <t>QHSE-2026-302</t>
  </si>
  <si>
    <t>2026-05-13</t>
  </si>
  <si>
    <t>QHSE-2026-303</t>
  </si>
  <si>
    <t>QHSE-2026-304</t>
  </si>
  <si>
    <t>QHSE-2026-305</t>
  </si>
  <si>
    <t>2026-05-14</t>
  </si>
  <si>
    <t>QHSE-2026-306</t>
  </si>
  <si>
    <t>2026-05-15</t>
  </si>
  <si>
    <t>QHSE-2026-307</t>
  </si>
  <si>
    <t>QHSE-2026-308</t>
  </si>
  <si>
    <t>2026-05-17</t>
  </si>
  <si>
    <t>QHSE-2026-309</t>
  </si>
  <si>
    <t>2026-05-18</t>
  </si>
  <si>
    <t>QHSE-2026-310</t>
  </si>
  <si>
    <t>2026-05-19</t>
  </si>
  <si>
    <t>QHSE-2026-311</t>
  </si>
  <si>
    <t>QHSE-2026-312</t>
  </si>
  <si>
    <t>QHSE-2026-313</t>
  </si>
  <si>
    <t>QHSE-2026-314</t>
  </si>
  <si>
    <t>2026-05-21</t>
  </si>
  <si>
    <t>QHSE-2026-315</t>
  </si>
  <si>
    <t>QHSE-2026-316</t>
  </si>
  <si>
    <t>QHSE-2026-317</t>
  </si>
  <si>
    <t>QHSE-2026-318</t>
  </si>
  <si>
    <t>2026-05-22</t>
  </si>
  <si>
    <t>QHSE-2026-319</t>
  </si>
  <si>
    <t>2026-05-24</t>
  </si>
  <si>
    <t>QHSE-2026-320</t>
  </si>
  <si>
    <t>2026-05-25</t>
  </si>
  <si>
    <t>QHSE-2026-321</t>
  </si>
  <si>
    <t>QHSE-2026-322</t>
  </si>
  <si>
    <t>QHSE-2026-323</t>
  </si>
  <si>
    <t>2026-05-26</t>
  </si>
  <si>
    <t>QHSE-2026-324</t>
  </si>
  <si>
    <t>QHSE-2026-325</t>
  </si>
  <si>
    <t>2026-05-27</t>
  </si>
  <si>
    <t>QHSE-2026-326</t>
  </si>
  <si>
    <t>2026-05-28</t>
  </si>
  <si>
    <t>QHSE-2026-327</t>
  </si>
  <si>
    <t>2026-05-29</t>
  </si>
  <si>
    <t>QHSE-2026-328</t>
  </si>
  <si>
    <t>2026-05-30</t>
  </si>
  <si>
    <t>QHSE-2026-329</t>
  </si>
  <si>
    <t>2026-05-31</t>
  </si>
  <si>
    <t>QHSE-2026-330</t>
  </si>
  <si>
    <t>2026-06-01</t>
  </si>
  <si>
    <t>QHSE-2026-331</t>
  </si>
  <si>
    <t>2026-06-03</t>
  </si>
  <si>
    <t>QHSE-2026-332</t>
  </si>
  <si>
    <t>QHSE-2026-333</t>
  </si>
  <si>
    <t>2026-06-04</t>
  </si>
  <si>
    <t>QHSE-2026-334</t>
  </si>
  <si>
    <t>QHSE-2026-335</t>
  </si>
  <si>
    <t>QHSE-2026-336</t>
  </si>
  <si>
    <t>2026-06-07</t>
  </si>
  <si>
    <t>QHSE-2026-337</t>
  </si>
  <si>
    <t>QHSE-2026-338</t>
  </si>
  <si>
    <t>2026-06-09</t>
  </si>
  <si>
    <t>QHSE-2026-339</t>
  </si>
  <si>
    <t>QHSE-2026-340</t>
  </si>
  <si>
    <t>QHSE-2026-341</t>
  </si>
  <si>
    <t>QHSE-2026-342</t>
  </si>
  <si>
    <t>2026-06-10</t>
  </si>
  <si>
    <t>QHSE-2026-343</t>
  </si>
  <si>
    <t>QHSE-2026-344</t>
  </si>
  <si>
    <t>2026-06-11</t>
  </si>
  <si>
    <t>QHSE-2026-345</t>
  </si>
  <si>
    <t>QHSE-2026-346</t>
  </si>
  <si>
    <t>QHSE-2026-347</t>
  </si>
  <si>
    <t>2026-06-12</t>
  </si>
  <si>
    <t>QHSE-2026-348</t>
  </si>
  <si>
    <t>QHSE-2026-349</t>
  </si>
  <si>
    <t>2026-06-13</t>
  </si>
  <si>
    <t>QHSE-2026-350</t>
  </si>
  <si>
    <t>2026-06-14</t>
  </si>
  <si>
    <t>QHSE-2026-351</t>
  </si>
  <si>
    <t>QHSE-2026-352</t>
  </si>
  <si>
    <t>2026-06-15</t>
  </si>
  <si>
    <t>QHSE-2026-353</t>
  </si>
  <si>
    <t>2026-06-16</t>
  </si>
  <si>
    <t>QHSE-2026-354</t>
  </si>
  <si>
    <t>QHSE-2026-355</t>
  </si>
  <si>
    <t>2026-06-17</t>
  </si>
  <si>
    <t>QHSE-2026-356</t>
  </si>
  <si>
    <t>2026-06-18</t>
  </si>
  <si>
    <t>QHSE-2026-357</t>
  </si>
  <si>
    <t>2026-06-19</t>
  </si>
  <si>
    <t>QHSE-2026-358</t>
  </si>
  <si>
    <t>2026-06-20</t>
  </si>
  <si>
    <t>QHSE-2026-359</t>
  </si>
  <si>
    <t>2026-06-21</t>
  </si>
  <si>
    <t>QHSE-2026-360</t>
  </si>
  <si>
    <t>QHSE-2026-361</t>
  </si>
  <si>
    <t>QHSE-2026-362</t>
  </si>
  <si>
    <t>QHSE-2026-363</t>
  </si>
  <si>
    <t>2026-06-22</t>
  </si>
  <si>
    <t>QHSE-2026-364</t>
  </si>
  <si>
    <t>2026-06-24</t>
  </si>
  <si>
    <t>QHSE-2026-365</t>
  </si>
  <si>
    <t>2026-06-25</t>
  </si>
  <si>
    <t>QHSE-2026-366</t>
  </si>
  <si>
    <t>QHSE-2026-367</t>
  </si>
  <si>
    <t>2026-06-26</t>
  </si>
  <si>
    <t>QHSE-2026-368</t>
  </si>
  <si>
    <t>2026-06-27</t>
  </si>
  <si>
    <t>QHSE-2026-369</t>
  </si>
  <si>
    <t>2026-06-28</t>
  </si>
  <si>
    <t>QHSE-2026-370</t>
  </si>
  <si>
    <t>QHSE-2026-371</t>
  </si>
  <si>
    <t>QHSE-2026-372</t>
  </si>
  <si>
    <t>QHSE-2026-373</t>
  </si>
  <si>
    <t>2026-06-29</t>
  </si>
  <si>
    <t>QHSE-2026-374</t>
  </si>
  <si>
    <t>2026-06-30</t>
  </si>
  <si>
    <t>QHSE-2026-375</t>
  </si>
  <si>
    <t>2026-07-01</t>
  </si>
  <si>
    <t>QHSE-2026-376</t>
  </si>
  <si>
    <t>2026-07-02</t>
  </si>
  <si>
    <t>QHSE-2026-377</t>
  </si>
  <si>
    <t>2026-07-04</t>
  </si>
  <si>
    <t>QHSE-2026-378</t>
  </si>
  <si>
    <t>QHSE-2026-379</t>
  </si>
  <si>
    <t>QHSE-2026-380</t>
  </si>
  <si>
    <t>2026-07-05</t>
  </si>
  <si>
    <t>QHSE-2026-381</t>
  </si>
  <si>
    <t>2026-07-06</t>
  </si>
  <si>
    <t>QHSE-2026-382</t>
  </si>
  <si>
    <t>2026-07-07</t>
  </si>
  <si>
    <t>QHSE-2026-383</t>
  </si>
  <si>
    <t>QHSE-2026-384</t>
  </si>
  <si>
    <t>QHSE-2026-385</t>
  </si>
  <si>
    <t>QHSE-2026-386</t>
  </si>
  <si>
    <t>QHSE-2026-387</t>
  </si>
  <si>
    <t>2026-07-08</t>
  </si>
  <si>
    <t>QHSE-2026-388</t>
  </si>
  <si>
    <t>2026-07-10</t>
  </si>
  <si>
    <t>QHSE-2026-389</t>
  </si>
  <si>
    <t>QHSE-2026-390</t>
  </si>
  <si>
    <t>QHSE-2026-391</t>
  </si>
  <si>
    <t>2026-07-11</t>
  </si>
  <si>
    <t>QHSE-2026-392</t>
  </si>
  <si>
    <t>QHSE-2026-393</t>
  </si>
  <si>
    <t>QHSE-2026-394</t>
  </si>
  <si>
    <t>2026-07-12</t>
  </si>
  <si>
    <t>QHSE-2026-395</t>
  </si>
  <si>
    <t>2026-07-13</t>
  </si>
  <si>
    <t>QHSE-2026-396</t>
  </si>
  <si>
    <t>QHSE-2026-397</t>
  </si>
  <si>
    <t>2026-07-15</t>
  </si>
  <si>
    <t>QHSE-2026-398</t>
  </si>
  <si>
    <t>QHSE-2026-399</t>
  </si>
  <si>
    <t>2026-07-16</t>
  </si>
  <si>
    <t>QHSE-2026-400</t>
  </si>
  <si>
    <t>QHSE-2026-401</t>
  </si>
  <si>
    <t>QHSE-2026-402</t>
  </si>
  <si>
    <t>2026-07-17</t>
  </si>
  <si>
    <t>QHSE-2026-403</t>
  </si>
  <si>
    <t>QHSE-2026-404</t>
  </si>
  <si>
    <t>2026-07-20</t>
  </si>
  <si>
    <t>QHSE-2026-405</t>
  </si>
  <si>
    <t>2026-07-21</t>
  </si>
  <si>
    <t>QHSE-2026-406</t>
  </si>
  <si>
    <t>QHSE-2026-407</t>
  </si>
  <si>
    <t>2026-07-22</t>
  </si>
  <si>
    <t>QHSE-2026-408</t>
  </si>
  <si>
    <t>2026-07-23</t>
  </si>
  <si>
    <t>QHSE-2026-409</t>
  </si>
  <si>
    <t>2026-07-25</t>
  </si>
  <si>
    <t>QHSE-2026-410</t>
  </si>
  <si>
    <t>2026-07-26</t>
  </si>
  <si>
    <t>QHSE-2026-411</t>
  </si>
  <si>
    <t>2026-07-28</t>
  </si>
  <si>
    <t>QHSE-2026-412</t>
  </si>
  <si>
    <t>2026-07-29</t>
  </si>
  <si>
    <t>QHSE-2026-413</t>
  </si>
  <si>
    <t>2026-07-31</t>
  </si>
  <si>
    <t>QHSE-2026-414</t>
  </si>
  <si>
    <t>QHSE-2026-415</t>
  </si>
  <si>
    <t>QHSE-2026-416</t>
  </si>
  <si>
    <t>QHSE-2026-417</t>
  </si>
  <si>
    <t>QHSE-2026-418</t>
  </si>
  <si>
    <t>2026-08-01</t>
  </si>
  <si>
    <t>QHSE-2026-419</t>
  </si>
  <si>
    <t>2026-08-02</t>
  </si>
  <si>
    <t>QHSE-2026-420</t>
  </si>
  <si>
    <t>2026-08-03</t>
  </si>
  <si>
    <t>QHSE-2026-421</t>
  </si>
  <si>
    <t>QHSE-2026-422</t>
  </si>
  <si>
    <t>2026-08-04</t>
  </si>
  <si>
    <t>QHSE-2026-423</t>
  </si>
  <si>
    <t>QHSE-2026-424</t>
  </si>
  <si>
    <t>2026-08-05</t>
  </si>
  <si>
    <t>QHSE-2026-425</t>
  </si>
  <si>
    <t>2026-08-06</t>
  </si>
  <si>
    <t>QHSE-2026-426</t>
  </si>
  <si>
    <t>QHSE-2026-427</t>
  </si>
  <si>
    <t>2026-08-07</t>
  </si>
  <si>
    <t>QHSE-2026-428</t>
  </si>
  <si>
    <t>2026-08-09</t>
  </si>
  <si>
    <t>QHSE-2026-429</t>
  </si>
  <si>
    <t>2026-08-10</t>
  </si>
  <si>
    <t>QHSE-2026-430</t>
  </si>
  <si>
    <t>QHSE-2026-431</t>
  </si>
  <si>
    <t>2026-08-11</t>
  </si>
  <si>
    <t>QHSE-2026-432</t>
  </si>
  <si>
    <t>2026-08-12</t>
  </si>
  <si>
    <t>QHSE-2026-433</t>
  </si>
  <si>
    <t>QHSE-2026-434</t>
  </si>
  <si>
    <t>2026-08-13</t>
  </si>
  <si>
    <t>QHSE-2026-435</t>
  </si>
  <si>
    <t>2026-08-14</t>
  </si>
  <si>
    <t>QHSE-2026-436</t>
  </si>
  <si>
    <t>QHSE-2026-437</t>
  </si>
  <si>
    <t>QHSE-2026-438</t>
  </si>
  <si>
    <t>2026-08-15</t>
  </si>
  <si>
    <t>QHSE-2026-439</t>
  </si>
  <si>
    <t>2026-08-16</t>
  </si>
  <si>
    <t>QHSE-2026-440</t>
  </si>
  <si>
    <t>2026-08-17</t>
  </si>
  <si>
    <t>QHSE-2026-441</t>
  </si>
  <si>
    <t>2026-08-18</t>
  </si>
  <si>
    <t>QHSE-2026-442</t>
  </si>
  <si>
    <t>2026-08-19</t>
  </si>
  <si>
    <t>QHSE-2026-443</t>
  </si>
  <si>
    <t>QHSE-2026-444</t>
  </si>
  <si>
    <t>2026-08-20</t>
  </si>
  <si>
    <t>QHSE-2026-445</t>
  </si>
  <si>
    <t>2026-08-21</t>
  </si>
  <si>
    <t>QHSE-2026-446</t>
  </si>
  <si>
    <t>QHSE-2026-447</t>
  </si>
  <si>
    <t>QHSE-2026-448</t>
  </si>
  <si>
    <t>2026-08-22</t>
  </si>
  <si>
    <t>QHSE-2026-449</t>
  </si>
  <si>
    <t>QHSE-2026-450</t>
  </si>
  <si>
    <t>2026-08-23</t>
  </si>
  <si>
    <t>QHSE-2026-451</t>
  </si>
  <si>
    <t>QHSE-2026-452</t>
  </si>
  <si>
    <t>2026-08-24</t>
  </si>
  <si>
    <t>QHSE-2026-453</t>
  </si>
  <si>
    <t>2026-08-25</t>
  </si>
  <si>
    <t>QHSE-2026-454</t>
  </si>
  <si>
    <t>2026-08-27</t>
  </si>
  <si>
    <t>QHSE-2026-455</t>
  </si>
  <si>
    <t>QHSE-2026-456</t>
  </si>
  <si>
    <t>2026-09-01</t>
  </si>
  <si>
    <t>QHSE-2026-457</t>
  </si>
  <si>
    <t>2026-09-03</t>
  </si>
  <si>
    <t>QHSE-2026-458</t>
  </si>
  <si>
    <t>QHSE-2026-459</t>
  </si>
  <si>
    <t>QHSE-2026-460</t>
  </si>
  <si>
    <t>2026-09-05</t>
  </si>
  <si>
    <t>QHSE-2026-461</t>
  </si>
  <si>
    <t>QHSE-2026-462</t>
  </si>
  <si>
    <t>QHSE-2026-463</t>
  </si>
  <si>
    <t>2026-09-06</t>
  </si>
  <si>
    <t>QHSE-2026-464</t>
  </si>
  <si>
    <t>2026-09-07</t>
  </si>
  <si>
    <t>QHSE-2026-465</t>
  </si>
  <si>
    <t>QHSE-2026-466</t>
  </si>
  <si>
    <t>QHSE-2026-467</t>
  </si>
  <si>
    <t>2026-09-08</t>
  </si>
  <si>
    <t>QHSE-2026-468</t>
  </si>
  <si>
    <t>2026-09-09</t>
  </si>
  <si>
    <t>QHSE-2026-469</t>
  </si>
  <si>
    <t>QHSE-2026-470</t>
  </si>
  <si>
    <t>2026-09-10</t>
  </si>
  <si>
    <t>QHSE-2026-471</t>
  </si>
  <si>
    <t>QHSE-2026-472</t>
  </si>
  <si>
    <t>2026-09-11</t>
  </si>
  <si>
    <t>QHSE-2026-473</t>
  </si>
  <si>
    <t>QHSE-2026-474</t>
  </si>
  <si>
    <t>QHSE-2026-475</t>
  </si>
  <si>
    <t>QHSE-2026-476</t>
  </si>
  <si>
    <t>QHSE-2026-477</t>
  </si>
  <si>
    <t>2026-09-13</t>
  </si>
  <si>
    <t>QHSE-2026-478</t>
  </si>
  <si>
    <t>2026-09-14</t>
  </si>
  <si>
    <t>QHSE-2026-479</t>
  </si>
  <si>
    <t>QHSE-2026-480</t>
  </si>
  <si>
    <t>QHSE-2026-481</t>
  </si>
  <si>
    <t>QHSE-2026-482</t>
  </si>
  <si>
    <t>QHSE-2026-483</t>
  </si>
  <si>
    <t>2026-09-15</t>
  </si>
  <si>
    <t>QHSE-2026-484</t>
  </si>
  <si>
    <t>2026-09-16</t>
  </si>
  <si>
    <t>QHSE-2026-485</t>
  </si>
  <si>
    <t>2026-09-17</t>
  </si>
  <si>
    <t>QHSE-2026-486</t>
  </si>
  <si>
    <t>QHSE-2026-487</t>
  </si>
  <si>
    <t>2026-09-19</t>
  </si>
  <si>
    <t>QHSE-2026-488</t>
  </si>
  <si>
    <t>2026-09-20</t>
  </si>
  <si>
    <t>QHSE-2026-489</t>
  </si>
  <si>
    <t>QHSE-2026-490</t>
  </si>
  <si>
    <t>2026-09-22</t>
  </si>
  <si>
    <t>QHSE-2026-491</t>
  </si>
  <si>
    <t>2026-09-24</t>
  </si>
  <si>
    <t>QHSE-2026-492</t>
  </si>
  <si>
    <t>QHSE-2026-493</t>
  </si>
  <si>
    <t>2026-09-25</t>
  </si>
  <si>
    <t>QHSE-2026-494</t>
  </si>
  <si>
    <t>QHSE-2026-495</t>
  </si>
  <si>
    <t>QHSE-2026-496</t>
  </si>
  <si>
    <t>QHSE-2026-497</t>
  </si>
  <si>
    <t>QHSE-2026-498</t>
  </si>
  <si>
    <t>2026-09-29</t>
  </si>
  <si>
    <t>QHSE-2026-499</t>
  </si>
  <si>
    <t>2026-09-30</t>
  </si>
  <si>
    <t>QHSE-2026-500</t>
  </si>
  <si>
    <t>Total des Événements / Incidents</t>
  </si>
  <si>
    <t>Total Jours d'Arrêt de Travail</t>
  </si>
  <si>
    <t>Coût Total Estimé (FCFA)</t>
  </si>
  <si>
    <t>Taux Moyen de Conformité 5S (%)</t>
  </si>
  <si>
    <t>Taux de Clôture des Actions (%)</t>
  </si>
  <si>
    <t>Étiquettes de lignes</t>
  </si>
  <si>
    <t>Total général</t>
  </si>
  <si>
    <t>Nombre de Type_Evenement</t>
  </si>
  <si>
    <t>Somme de Gravite</t>
  </si>
  <si>
    <t>Somme de Jours_Arret</t>
  </si>
  <si>
    <t>Nombre de Statut_Action</t>
  </si>
  <si>
    <t>Octobre</t>
  </si>
  <si>
    <t>Novembre</t>
  </si>
  <si>
    <t>Decembre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</si>
  <si>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</si>
  <si>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</si>
  <si>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</si>
  <si>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</si>
  <si>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</si>
  <si>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</si>
  <si>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</si>
  <si>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</si>
  <si>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</si>
  <si>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N_Mois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</si>
</sst>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&quot;%&quot;"/>
    <numFmt numFmtId="165" formatCode="#,##0\ [$F CFA-300C]"/>
    <numFmt numFmtId="166" formatCode="mmmm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2" fillId="3" borderId="0" xfId="0" applyFont="1" applyFill="1"/>
    <xf numFmtId="0" fontId="0" fillId="4" borderId="0" xfId="0" applyFill="1"/>
    <xf numFmtId="164" fontId="0" fillId="0" borderId="0" xfId="0" applyNumberFormat="1"/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211"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4" formatCode="0&quot;%&quot;"/>
    </dxf>
    <dxf>
      <numFmt numFmtId="165" formatCode="#,##0\ [$F CFA-300C]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0" formatCode="General"/>
    </dxf>
    <dxf>
      <numFmt numFmtId="166" formatCode="mmmm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theme="0"/>
      </font>
    </dxf>
    <dxf>
      <font>
        <b/>
        <i val="0"/>
        <color theme="3" tint="-0.499984740745262"/>
      </font>
      <fill>
        <patternFill>
          <bgColor theme="3" tint="-0.24994659260841701"/>
        </patternFill>
      </fill>
    </dxf>
  </dxfs>
  <tableStyles count="1" defaultTableStyle="TableStyleMedium9" defaultPivotStyle="PivotStyleLight16">
    <tableStyle name="Style de segment 2" pivot="0" table="0" count="3" xr9:uid="{89D4E408-C43F-46B9-AA51-FF1D5D4B466E}">
      <tableStyleElement type="wholeTable" dxfId="210"/>
      <tableStyleElement type="headerRow" dxfId="209"/>
    </tableStyle>
  </tableStyles>
  <colors>
    <mruColors>
      <color rgb="FF920000"/>
      <color rgb="FF104862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tyle de segment 2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[Base_De_Donnees_Incident_QHSE.xlsx]TCD!Tableau croisé dynamique7</c:name>
    <c:fmtId val="1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0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1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2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3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4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5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5400" cap="rnd">
            <a:gradFill>
              <a:gsLst>
                <a:gs pos="48000">
                  <a:srgbClr val="920000"/>
                </a:gs>
                <a:gs pos="88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gradFill>
              <a:gsLst>
                <a:gs pos="48000">
                  <a:srgbClr val="920000"/>
                </a:gs>
                <a:gs pos="88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280496911936059E-2"/>
          <c:y val="0.40742407199100111"/>
          <c:w val="0.91998423737347934"/>
          <c:h val="0.2975493063367079"/>
        </c:manualLayout>
      </c:layout>
      <c:lineChart>
        <c:grouping val="standard"/>
        <c:varyColors val="0"/>
        <c:ser>
          <c:idx val="0"/>
          <c:order val="0"/>
          <c:tx>
            <c:strRef>
              <c:f>TCD!$H$14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gradFill>
                <a:gsLst>
                  <a:gs pos="48000">
                    <a:srgbClr val="920000"/>
                  </a:gs>
                  <a:gs pos="88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gradFill>
                <a:gsLst>
                  <a:gs pos="48000">
                    <a:srgbClr val="920000"/>
                  </a:gs>
                  <a:gs pos="88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TCD!$G$15:$G$21</c:f>
              <c:strCache>
                <c:ptCount val="6"/>
                <c:pt idx="0">
                  <c:v>Administration</c:v>
                </c:pt>
                <c:pt idx="1">
                  <c:v>Conditionnement</c:v>
                </c:pt>
                <c:pt idx="2">
                  <c:v>Logistique / Entrepôt</c:v>
                </c:pt>
                <c:pt idx="3">
                  <c:v>Maintenance</c:v>
                </c:pt>
                <c:pt idx="4">
                  <c:v>Production</c:v>
                </c:pt>
                <c:pt idx="5">
                  <c:v>Sécurité / Gardiennage</c:v>
                </c:pt>
              </c:strCache>
            </c:strRef>
          </c:cat>
          <c:val>
            <c:numRef>
              <c:f>TCD!$H$15:$H$21</c:f>
              <c:numCache>
                <c:formatCode>General</c:formatCode>
                <c:ptCount val="6"/>
                <c:pt idx="0">
                  <c:v>94</c:v>
                </c:pt>
                <c:pt idx="1">
                  <c:v>65</c:v>
                </c:pt>
                <c:pt idx="2">
                  <c:v>88</c:v>
                </c:pt>
                <c:pt idx="3">
                  <c:v>93</c:v>
                </c:pt>
                <c:pt idx="4">
                  <c:v>85</c:v>
                </c:pt>
                <c:pt idx="5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8F-469F-ACC8-B753774F02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57319072"/>
        <c:axId val="2057325792"/>
      </c:lineChart>
      <c:catAx>
        <c:axId val="205731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spc="3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7325792"/>
        <c:crosses val="autoZero"/>
        <c:auto val="1"/>
        <c:lblAlgn val="ctr"/>
        <c:lblOffset val="100"/>
        <c:noMultiLvlLbl val="0"/>
      </c:catAx>
      <c:valAx>
        <c:axId val="20573257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5731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75000"/>
      </a:schemeClr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[Base_De_Donnees_Incident_QHSE.xlsx]TCD!Tableau croisé dynamique4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tx2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tx2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rgbClr val="104862"/>
              </a:gs>
              <a:gs pos="50000">
                <a:srgbClr val="104862"/>
              </a:gs>
              <a:gs pos="0">
                <a:schemeClr val="accent1">
                  <a:lumMod val="45000"/>
                  <a:lumOff val="55000"/>
                </a:schemeClr>
              </a:gs>
              <a:gs pos="0">
                <a:schemeClr val="accent1">
                  <a:lumMod val="45000"/>
                  <a:lumOff val="55000"/>
                </a:schemeClr>
              </a:gs>
            </a:gsLst>
            <a:lin ang="5400000" scaled="1"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rgbClr val="104862"/>
              </a:gs>
              <a:gs pos="50000">
                <a:srgbClr val="104862"/>
              </a:gs>
              <a:gs pos="0">
                <a:schemeClr val="accent1">
                  <a:lumMod val="45000"/>
                  <a:lumOff val="55000"/>
                </a:schemeClr>
              </a:gs>
              <a:gs pos="0">
                <a:schemeClr val="accent1">
                  <a:lumMod val="45000"/>
                  <a:lumOff val="55000"/>
                </a:schemeClr>
              </a:gs>
            </a:gsLst>
            <a:lin ang="5400000" scaled="1"/>
          </a:gradFill>
          <a:ln>
            <a:solidFill>
              <a:schemeClr val="accent5">
                <a:lumMod val="75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TCD!$H$3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104862"/>
                </a:gs>
                <a:gs pos="50000">
                  <a:srgbClr val="104862"/>
                </a:gs>
                <a:gs pos="0">
                  <a:schemeClr val="accent1">
                    <a:lumMod val="45000"/>
                    <a:lumOff val="55000"/>
                  </a:schemeClr>
                </a:gs>
                <a:gs pos="0">
                  <a:schemeClr val="accent1">
                    <a:lumMod val="45000"/>
                    <a:lumOff val="55000"/>
                  </a:schemeClr>
                </a:gs>
              </a:gsLst>
              <a:lin ang="5400000" scaled="1"/>
            </a:gradFill>
            <a:ln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cat>
            <c:strRef>
              <c:f>TCD!$G$4:$G$10</c:f>
              <c:strCache>
                <c:ptCount val="6"/>
                <c:pt idx="0">
                  <c:v>Accident du Travail (avec arrêt)</c:v>
                </c:pt>
                <c:pt idx="1">
                  <c:v>Accident du Travail (sans arrêt)</c:v>
                </c:pt>
                <c:pt idx="2">
                  <c:v>Incident Matériel / Dégât</c:v>
                </c:pt>
                <c:pt idx="3">
                  <c:v>Non-conformité Environnementale</c:v>
                </c:pt>
                <c:pt idx="4">
                  <c:v>Presqu'accident (Near Miss)</c:v>
                </c:pt>
                <c:pt idx="5">
                  <c:v>Situation Dangereuse</c:v>
                </c:pt>
              </c:strCache>
            </c:strRef>
          </c:cat>
          <c:val>
            <c:numRef>
              <c:f>TCD!$H$4:$H$10</c:f>
              <c:numCache>
                <c:formatCode>#\ ##0\ [$F CFA-300C]</c:formatCode>
                <c:ptCount val="6"/>
                <c:pt idx="0">
                  <c:v>108626892</c:v>
                </c:pt>
                <c:pt idx="1">
                  <c:v>4881833</c:v>
                </c:pt>
                <c:pt idx="2">
                  <c:v>29047246</c:v>
                </c:pt>
                <c:pt idx="3">
                  <c:v>16140178</c:v>
                </c:pt>
                <c:pt idx="4">
                  <c:v>12251825</c:v>
                </c:pt>
                <c:pt idx="5">
                  <c:v>7401943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A-4800-B496-334EC3F18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556106640"/>
        <c:axId val="1556101360"/>
      </c:barChart>
      <c:catAx>
        <c:axId val="155610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9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6101360"/>
        <c:crosses val="autoZero"/>
        <c:auto val="1"/>
        <c:lblAlgn val="ctr"/>
        <c:lblOffset val="100"/>
        <c:noMultiLvlLbl val="0"/>
      </c:catAx>
      <c:valAx>
        <c:axId val="1556101360"/>
        <c:scaling>
          <c:orientation val="minMax"/>
        </c:scaling>
        <c:delete val="0"/>
        <c:axPos val="l"/>
        <c:numFmt formatCode="#\ ##0\ [$F CFA-300C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610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[Base_De_Donnees_Incident_QHSE.xlsx]TCD!Tableau croisé dynamique6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5">
                  <a:lumMod val="75000"/>
                </a:schemeClr>
              </a:gs>
              <a:gs pos="95000">
                <a:schemeClr val="accent1">
                  <a:lumMod val="45000"/>
                  <a:lumOff val="55000"/>
                </a:schemeClr>
              </a:gs>
              <a:gs pos="64000">
                <a:schemeClr val="accent1">
                  <a:lumMod val="5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TCD!$E$14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lumMod val="75000"/>
                  </a:schemeClr>
                </a:gs>
                <a:gs pos="95000">
                  <a:schemeClr val="accent1">
                    <a:lumMod val="45000"/>
                    <a:lumOff val="55000"/>
                  </a:schemeClr>
                </a:gs>
                <a:gs pos="64000">
                  <a:schemeClr val="accent1">
                    <a:lumMod val="50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TCD!$D$15:$D$19</c:f>
              <c:strCache>
                <c:ptCount val="4"/>
                <c:pt idx="0">
                  <c:v>Clôturée</c:v>
                </c:pt>
                <c:pt idx="1">
                  <c:v>En cours</c:v>
                </c:pt>
                <c:pt idx="2">
                  <c:v>En retard</c:v>
                </c:pt>
                <c:pt idx="3">
                  <c:v>Planifiée</c:v>
                </c:pt>
              </c:strCache>
            </c:strRef>
          </c:cat>
          <c:val>
            <c:numRef>
              <c:f>TCD!$E$15:$E$19</c:f>
              <c:numCache>
                <c:formatCode>General</c:formatCode>
                <c:ptCount val="4"/>
                <c:pt idx="0">
                  <c:v>290</c:v>
                </c:pt>
                <c:pt idx="1">
                  <c:v>103</c:v>
                </c:pt>
                <c:pt idx="2">
                  <c:v>43</c:v>
                </c:pt>
                <c:pt idx="3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9-4D92-865E-68A22D958F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07764224"/>
        <c:axId val="1907769024"/>
      </c:barChart>
      <c:catAx>
        <c:axId val="1907764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7769024"/>
        <c:crosses val="autoZero"/>
        <c:auto val="1"/>
        <c:lblAlgn val="ctr"/>
        <c:lblOffset val="100"/>
        <c:noMultiLvlLbl val="0"/>
      </c:catAx>
      <c:valAx>
        <c:axId val="1907769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776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[Base_De_Donnees_Incident_QHSE.xlsx]TCD!Tableau croisé dynamique5</c:name>
    <c:fmtId val="14"/>
  </c:pivotSource>
  <c:chart>
    <c:autoTitleDeleted val="1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9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5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9"/>
        <c:spPr>
          <a:gradFill rotWithShape="1">
            <a:gsLst>
              <a:gs pos="84000">
                <a:schemeClr val="accent5">
                  <a:lumMod val="60000"/>
                  <a:lumOff val="40000"/>
                </a:schemeClr>
              </a:gs>
              <a:gs pos="40000">
                <a:schemeClr val="accent1">
                  <a:lumMod val="50000"/>
                </a:schemeClr>
              </a:gs>
            </a:gsLst>
            <a:path path="circle">
              <a:fillToRect l="100000" t="100000"/>
            </a:path>
          </a:gradFill>
          <a:ln cap="rnd">
            <a:solidFill>
              <a:schemeClr val="tx2">
                <a:lumMod val="50000"/>
                <a:alpha val="92000"/>
              </a:schemeClr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84000">
                <a:schemeClr val="accent5">
                  <a:lumMod val="60000"/>
                  <a:lumOff val="40000"/>
                </a:schemeClr>
              </a:gs>
              <a:gs pos="40000">
                <a:schemeClr val="accent1">
                  <a:lumMod val="50000"/>
                </a:schemeClr>
              </a:gs>
            </a:gsLst>
            <a:path path="circle">
              <a:fillToRect l="100000" t="100000"/>
            </a:path>
          </a:gradFill>
          <a:ln cap="rnd">
            <a:solidFill>
              <a:schemeClr val="tx2">
                <a:lumMod val="50000"/>
                <a:alpha val="92000"/>
              </a:schemeClr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21"/>
        <c:spPr>
          <a:gradFill rotWithShape="1">
            <a:gsLst>
              <a:gs pos="84000">
                <a:schemeClr val="accent5">
                  <a:lumMod val="60000"/>
                  <a:lumOff val="40000"/>
                </a:schemeClr>
              </a:gs>
              <a:gs pos="40000">
                <a:schemeClr val="accent1">
                  <a:lumMod val="50000"/>
                </a:schemeClr>
              </a:gs>
            </a:gsLst>
            <a:path path="circle">
              <a:fillToRect l="100000" t="100000"/>
            </a:path>
          </a:gradFill>
          <a:ln cap="rnd">
            <a:solidFill>
              <a:schemeClr val="tx2">
                <a:lumMod val="50000"/>
                <a:alpha val="92000"/>
              </a:schemeClr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22"/>
        <c:spPr>
          <a:gradFill rotWithShape="1">
            <a:gsLst>
              <a:gs pos="84000">
                <a:schemeClr val="accent5">
                  <a:lumMod val="60000"/>
                  <a:lumOff val="40000"/>
                </a:schemeClr>
              </a:gs>
              <a:gs pos="40000">
                <a:schemeClr val="accent1">
                  <a:lumMod val="50000"/>
                </a:schemeClr>
              </a:gs>
            </a:gsLst>
            <a:path path="circle">
              <a:fillToRect l="100000" t="100000"/>
            </a:path>
          </a:gradFill>
          <a:ln cap="rnd">
            <a:solidFill>
              <a:schemeClr val="tx2">
                <a:lumMod val="50000"/>
                <a:alpha val="92000"/>
              </a:schemeClr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23"/>
        <c:spPr>
          <a:gradFill rotWithShape="1">
            <a:gsLst>
              <a:gs pos="84000">
                <a:schemeClr val="accent5">
                  <a:lumMod val="60000"/>
                  <a:lumOff val="40000"/>
                </a:schemeClr>
              </a:gs>
              <a:gs pos="40000">
                <a:schemeClr val="accent1">
                  <a:lumMod val="50000"/>
                </a:schemeClr>
              </a:gs>
            </a:gsLst>
            <a:path path="circle">
              <a:fillToRect l="100000" t="100000"/>
            </a:path>
          </a:gradFill>
          <a:ln cap="rnd">
            <a:solidFill>
              <a:schemeClr val="tx2">
                <a:lumMod val="50000"/>
                <a:alpha val="92000"/>
              </a:schemeClr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24"/>
        <c:spPr>
          <a:gradFill rotWithShape="1">
            <a:gsLst>
              <a:gs pos="84000">
                <a:schemeClr val="accent5">
                  <a:lumMod val="60000"/>
                  <a:lumOff val="40000"/>
                </a:schemeClr>
              </a:gs>
              <a:gs pos="40000">
                <a:schemeClr val="accent1">
                  <a:lumMod val="50000"/>
                </a:schemeClr>
              </a:gs>
            </a:gsLst>
            <a:path path="circle">
              <a:fillToRect l="100000" t="100000"/>
            </a:path>
          </a:gradFill>
          <a:ln cap="rnd">
            <a:solidFill>
              <a:schemeClr val="tx2">
                <a:lumMod val="50000"/>
                <a:alpha val="92000"/>
              </a:schemeClr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TCD!$B$14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84000">
                  <a:schemeClr val="accent5">
                    <a:lumMod val="60000"/>
                    <a:lumOff val="40000"/>
                  </a:schemeClr>
                </a:gs>
                <a:gs pos="40000">
                  <a:schemeClr val="accent1">
                    <a:lumMod val="50000"/>
                  </a:schemeClr>
                </a:gs>
              </a:gsLst>
              <a:path path="circle">
                <a:fillToRect l="100000" t="100000"/>
              </a:path>
            </a:gradFill>
            <a:ln cap="rnd">
              <a:solidFill>
                <a:schemeClr val="tx2">
                  <a:lumMod val="50000"/>
                  <a:alpha val="92000"/>
                </a:schemeClr>
              </a:solidFill>
            </a:ln>
          </c:spPr>
          <c:dPt>
            <c:idx val="0"/>
            <c:bubble3D val="0"/>
            <c:spPr>
              <a:gradFill rotWithShape="1">
                <a:gsLst>
                  <a:gs pos="84000">
                    <a:schemeClr val="accent5">
                      <a:lumMod val="60000"/>
                      <a:lumOff val="40000"/>
                    </a:schemeClr>
                  </a:gs>
                  <a:gs pos="40000">
                    <a:schemeClr val="accent1">
                      <a:lumMod val="50000"/>
                    </a:schemeClr>
                  </a:gs>
                </a:gsLst>
                <a:path path="circle">
                  <a:fillToRect l="100000" t="100000"/>
                </a:path>
              </a:gradFill>
              <a:ln cap="rnd">
                <a:solidFill>
                  <a:schemeClr val="tx2">
                    <a:lumMod val="50000"/>
                    <a:alpha val="92000"/>
                  </a:schemeClr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4F9-4041-9A4B-95F046CC81A3}"/>
              </c:ext>
            </c:extLst>
          </c:dPt>
          <c:dPt>
            <c:idx val="1"/>
            <c:bubble3D val="0"/>
            <c:spPr>
              <a:gradFill rotWithShape="1">
                <a:gsLst>
                  <a:gs pos="84000">
                    <a:schemeClr val="accent5">
                      <a:lumMod val="60000"/>
                      <a:lumOff val="40000"/>
                    </a:schemeClr>
                  </a:gs>
                  <a:gs pos="40000">
                    <a:schemeClr val="accent1">
                      <a:lumMod val="50000"/>
                    </a:schemeClr>
                  </a:gs>
                </a:gsLst>
                <a:path path="circle">
                  <a:fillToRect l="100000" t="100000"/>
                </a:path>
              </a:gradFill>
              <a:ln cap="rnd">
                <a:solidFill>
                  <a:schemeClr val="tx2">
                    <a:lumMod val="50000"/>
                    <a:alpha val="92000"/>
                  </a:schemeClr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4F9-4041-9A4B-95F046CC81A3}"/>
              </c:ext>
            </c:extLst>
          </c:dPt>
          <c:dPt>
            <c:idx val="2"/>
            <c:bubble3D val="0"/>
            <c:spPr>
              <a:gradFill rotWithShape="1">
                <a:gsLst>
                  <a:gs pos="84000">
                    <a:schemeClr val="accent5">
                      <a:lumMod val="60000"/>
                      <a:lumOff val="40000"/>
                    </a:schemeClr>
                  </a:gs>
                  <a:gs pos="40000">
                    <a:schemeClr val="accent1">
                      <a:lumMod val="50000"/>
                    </a:schemeClr>
                  </a:gs>
                </a:gsLst>
                <a:path path="circle">
                  <a:fillToRect l="100000" t="100000"/>
                </a:path>
              </a:gradFill>
              <a:ln cap="rnd">
                <a:solidFill>
                  <a:schemeClr val="tx2">
                    <a:lumMod val="50000"/>
                    <a:alpha val="92000"/>
                  </a:schemeClr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4F9-4041-9A4B-95F046CC81A3}"/>
              </c:ext>
            </c:extLst>
          </c:dPt>
          <c:dPt>
            <c:idx val="3"/>
            <c:bubble3D val="0"/>
            <c:spPr>
              <a:gradFill rotWithShape="1">
                <a:gsLst>
                  <a:gs pos="84000">
                    <a:schemeClr val="accent5">
                      <a:lumMod val="60000"/>
                      <a:lumOff val="40000"/>
                    </a:schemeClr>
                  </a:gs>
                  <a:gs pos="40000">
                    <a:schemeClr val="accent1">
                      <a:lumMod val="50000"/>
                    </a:schemeClr>
                  </a:gs>
                </a:gsLst>
                <a:path path="circle">
                  <a:fillToRect l="100000" t="100000"/>
                </a:path>
              </a:gradFill>
              <a:ln cap="rnd">
                <a:solidFill>
                  <a:schemeClr val="tx2">
                    <a:lumMod val="50000"/>
                    <a:alpha val="92000"/>
                  </a:schemeClr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4F9-4041-9A4B-95F046CC81A3}"/>
              </c:ext>
            </c:extLst>
          </c:dPt>
          <c:dPt>
            <c:idx val="4"/>
            <c:bubble3D val="0"/>
            <c:spPr>
              <a:gradFill rotWithShape="1">
                <a:gsLst>
                  <a:gs pos="84000">
                    <a:schemeClr val="accent5">
                      <a:lumMod val="60000"/>
                      <a:lumOff val="40000"/>
                    </a:schemeClr>
                  </a:gs>
                  <a:gs pos="40000">
                    <a:schemeClr val="accent1">
                      <a:lumMod val="50000"/>
                    </a:schemeClr>
                  </a:gs>
                </a:gsLst>
                <a:path path="circle">
                  <a:fillToRect l="100000" t="100000"/>
                </a:path>
              </a:gradFill>
              <a:ln cap="rnd">
                <a:solidFill>
                  <a:schemeClr val="tx2">
                    <a:lumMod val="50000"/>
                    <a:alpha val="92000"/>
                  </a:schemeClr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4F9-4041-9A4B-95F046CC81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TCD!$A$15:$A$20</c:f>
              <c:strCache>
                <c:ptCount val="5"/>
                <c:pt idx="0">
                  <c:v>Agence Secondaire Yamoussoukro</c:v>
                </c:pt>
                <c:pt idx="1">
                  <c:v>Entrepôt Logistique San Pedro</c:v>
                </c:pt>
                <c:pt idx="2">
                  <c:v>Site Agricole Aboisso</c:v>
                </c:pt>
                <c:pt idx="3">
                  <c:v>Unité Transformation Bouaké</c:v>
                </c:pt>
                <c:pt idx="4">
                  <c:v>Usine Principale Abidjan</c:v>
                </c:pt>
              </c:strCache>
            </c:strRef>
          </c:cat>
          <c:val>
            <c:numRef>
              <c:f>TCD!$B$15:$B$20</c:f>
              <c:numCache>
                <c:formatCode>0"%"</c:formatCode>
                <c:ptCount val="5"/>
                <c:pt idx="0">
                  <c:v>81.791666666666671</c:v>
                </c:pt>
                <c:pt idx="1">
                  <c:v>81.753846153846155</c:v>
                </c:pt>
                <c:pt idx="2">
                  <c:v>83.465909090909093</c:v>
                </c:pt>
                <c:pt idx="3">
                  <c:v>83.06557377049181</c:v>
                </c:pt>
                <c:pt idx="4">
                  <c:v>82.173410404624278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4F9-4041-9A4B-95F046CC81A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5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Tableau de bord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svg"/><Relationship Id="rId18" Type="http://schemas.openxmlformats.org/officeDocument/2006/relationships/image" Target="../media/image3.png"/><Relationship Id="rId3" Type="http://schemas.openxmlformats.org/officeDocument/2006/relationships/chart" Target="../charts/chart3.xml"/><Relationship Id="rId21" Type="http://schemas.openxmlformats.org/officeDocument/2006/relationships/image" Target="../media/image18.svg"/><Relationship Id="rId7" Type="http://schemas.openxmlformats.org/officeDocument/2006/relationships/hyperlink" Target="#Base_Incidents_QHSE!A1"/><Relationship Id="rId12" Type="http://schemas.openxmlformats.org/officeDocument/2006/relationships/image" Target="../media/image11.png"/><Relationship Id="rId17" Type="http://schemas.openxmlformats.org/officeDocument/2006/relationships/image" Target="../media/image16.svg"/><Relationship Id="rId2" Type="http://schemas.openxmlformats.org/officeDocument/2006/relationships/chart" Target="../charts/chart2.xml"/><Relationship Id="rId16" Type="http://schemas.openxmlformats.org/officeDocument/2006/relationships/image" Target="../media/image15.png"/><Relationship Id="rId20" Type="http://schemas.openxmlformats.org/officeDocument/2006/relationships/image" Target="../media/image17.png"/><Relationship Id="rId1" Type="http://schemas.openxmlformats.org/officeDocument/2006/relationships/chart" Target="../charts/chart1.xml"/><Relationship Id="rId6" Type="http://schemas.openxmlformats.org/officeDocument/2006/relationships/image" Target="../media/image6.svg"/><Relationship Id="rId11" Type="http://schemas.openxmlformats.org/officeDocument/2006/relationships/image" Target="../media/image10.svg"/><Relationship Id="rId5" Type="http://schemas.openxmlformats.org/officeDocument/2006/relationships/image" Target="../media/image5.png"/><Relationship Id="rId15" Type="http://schemas.openxmlformats.org/officeDocument/2006/relationships/image" Target="../media/image14.svg"/><Relationship Id="rId10" Type="http://schemas.openxmlformats.org/officeDocument/2006/relationships/image" Target="../media/image9.png"/><Relationship Id="rId19" Type="http://schemas.openxmlformats.org/officeDocument/2006/relationships/image" Target="../media/image4.svg"/><Relationship Id="rId4" Type="http://schemas.openxmlformats.org/officeDocument/2006/relationships/chart" Target="../charts/chart4.xml"/><Relationship Id="rId9" Type="http://schemas.openxmlformats.org/officeDocument/2006/relationships/image" Target="../media/image8.svg"/><Relationship Id="rId1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548640</xdr:colOff>
      <xdr:row>0</xdr:row>
      <xdr:rowOff>0</xdr:rowOff>
    </xdr:from>
    <xdr:to>
      <xdr:col>15</xdr:col>
      <xdr:colOff>601980</xdr:colOff>
      <xdr:row>3</xdr:row>
      <xdr:rowOff>114300</xdr:rowOff>
    </xdr:to>
    <xdr:pic>
      <xdr:nvPicPr>
        <xdr:cNvPr id="2" name="Graphique 1" descr="Graphique à barres avec tendance à la baisse avec un remplissage un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75AB6D-4E41-444A-B355-6286872FE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5552420" y="0"/>
          <a:ext cx="662940" cy="662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0</xdr:colOff>
      <xdr:row>9</xdr:row>
      <xdr:rowOff>152400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9847D5DB-0DAE-4FC5-9D8E-29E51B841A00}"/>
            </a:ext>
          </a:extLst>
        </xdr:cNvPr>
        <xdr:cNvSpPr/>
      </xdr:nvSpPr>
      <xdr:spPr>
        <a:xfrm>
          <a:off x="0" y="0"/>
          <a:ext cx="14264640" cy="1798320"/>
        </a:xfrm>
        <a:prstGeom prst="roundRect">
          <a:avLst>
            <a:gd name="adj" fmla="val 5738"/>
          </a:avLst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0</xdr:colOff>
      <xdr:row>10</xdr:row>
      <xdr:rowOff>30480</xdr:rowOff>
    </xdr:from>
    <xdr:to>
      <xdr:col>17</xdr:col>
      <xdr:colOff>675840</xdr:colOff>
      <xdr:row>33</xdr:row>
      <xdr:rowOff>53340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B9685D2B-62CD-4E28-90CD-CD5A5AB76087}"/>
            </a:ext>
          </a:extLst>
        </xdr:cNvPr>
        <xdr:cNvSpPr/>
      </xdr:nvSpPr>
      <xdr:spPr>
        <a:xfrm>
          <a:off x="0" y="1859280"/>
          <a:ext cx="14148000" cy="4229100"/>
        </a:xfrm>
        <a:prstGeom prst="roundRect">
          <a:avLst>
            <a:gd name="adj" fmla="val 2315"/>
          </a:avLst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281940</xdr:colOff>
      <xdr:row>10</xdr:row>
      <xdr:rowOff>129540</xdr:rowOff>
    </xdr:from>
    <xdr:to>
      <xdr:col>17</xdr:col>
      <xdr:colOff>579120</xdr:colOff>
      <xdr:row>18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6204E71-A4E5-45FB-A7B2-DA08C6154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106680</xdr:colOff>
      <xdr:row>10</xdr:row>
      <xdr:rowOff>129540</xdr:rowOff>
    </xdr:from>
    <xdr:to>
      <xdr:col>7</xdr:col>
      <xdr:colOff>205740</xdr:colOff>
      <xdr:row>32</xdr:row>
      <xdr:rowOff>152400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DF55700-C1CF-4B4E-99A1-A182C55309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464820</xdr:colOff>
      <xdr:row>18</xdr:row>
      <xdr:rowOff>76200</xdr:rowOff>
    </xdr:from>
    <xdr:to>
      <xdr:col>17</xdr:col>
      <xdr:colOff>579120</xdr:colOff>
      <xdr:row>32</xdr:row>
      <xdr:rowOff>144780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BE8FECF-32DC-44EC-8142-EC508AEEC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457200</xdr:colOff>
      <xdr:row>6</xdr:row>
      <xdr:rowOff>1</xdr:rowOff>
    </xdr:from>
    <xdr:to>
      <xdr:col>7</xdr:col>
      <xdr:colOff>43320</xdr:colOff>
      <xdr:row>9</xdr:row>
      <xdr:rowOff>106681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ite 1">
              <a:extLst>
                <a:ext uri="{FF2B5EF4-FFF2-40B4-BE49-F238E27FC236}">
                  <a16:creationId xmlns:a16="http://schemas.microsoft.com/office/drawing/2014/main" id="{5F27C52C-0D7C-4182-B7AB-80FFAEE9D4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9680" y="1097281"/>
              <a:ext cx="4341000" cy="655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167640</xdr:colOff>
      <xdr:row>6</xdr:row>
      <xdr:rowOff>0</xdr:rowOff>
    </xdr:from>
    <xdr:to>
      <xdr:col>13</xdr:col>
      <xdr:colOff>403860</xdr:colOff>
      <xdr:row>9</xdr:row>
      <xdr:rowOff>106680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Departement 1">
              <a:extLst>
                <a:ext uri="{FF2B5EF4-FFF2-40B4-BE49-F238E27FC236}">
                  <a16:creationId xmlns:a16="http://schemas.microsoft.com/office/drawing/2014/main" id="{1A12A45C-5697-43A3-BE90-4D08493EB2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e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00" y="1097280"/>
              <a:ext cx="4991100" cy="655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548640</xdr:colOff>
      <xdr:row>5</xdr:row>
      <xdr:rowOff>160020</xdr:rowOff>
    </xdr:from>
    <xdr:to>
      <xdr:col>17</xdr:col>
      <xdr:colOff>586740</xdr:colOff>
      <xdr:row>9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Mois 1">
              <a:extLst>
                <a:ext uri="{FF2B5EF4-FFF2-40B4-BE49-F238E27FC236}">
                  <a16:creationId xmlns:a16="http://schemas.microsoft.com/office/drawing/2014/main" id="{7673B6FD-A38D-4E31-B676-8377010AFF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i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50880" y="1074420"/>
              <a:ext cx="3208020" cy="685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7</xdr:col>
      <xdr:colOff>167640</xdr:colOff>
      <xdr:row>0</xdr:row>
      <xdr:rowOff>99060</xdr:rowOff>
    </xdr:from>
    <xdr:to>
      <xdr:col>9</xdr:col>
      <xdr:colOff>175260</xdr:colOff>
      <xdr:row>5</xdr:row>
      <xdr:rowOff>45720</xdr:rowOff>
    </xdr:to>
    <xdr:grpSp>
      <xdr:nvGrpSpPr>
        <xdr:cNvPr id="10" name="Groupe 9">
          <a:extLst>
            <a:ext uri="{FF2B5EF4-FFF2-40B4-BE49-F238E27FC236}">
              <a16:creationId xmlns:a16="http://schemas.microsoft.com/office/drawing/2014/main" id="{9B398BB5-A361-4B5A-9740-2724C7696135}"/>
            </a:ext>
          </a:extLst>
        </xdr:cNvPr>
        <xdr:cNvGrpSpPr/>
      </xdr:nvGrpSpPr>
      <xdr:grpSpPr>
        <a:xfrm>
          <a:off x="5715000" y="99060"/>
          <a:ext cx="1592580" cy="861060"/>
          <a:chOff x="4084320" y="106680"/>
          <a:chExt cx="1592580" cy="861060"/>
        </a:xfrm>
        <a:solidFill>
          <a:schemeClr val="accent1">
            <a:lumMod val="50000"/>
          </a:schemeClr>
        </a:solidFill>
      </xdr:grpSpPr>
      <xdr:sp macro="" textlink="TCD!A5">
        <xdr:nvSpPr>
          <xdr:cNvPr id="11" name="Rectangle : coins arrondis 10">
            <a:extLst>
              <a:ext uri="{FF2B5EF4-FFF2-40B4-BE49-F238E27FC236}">
                <a16:creationId xmlns:a16="http://schemas.microsoft.com/office/drawing/2014/main" id="{425CC959-D288-603D-0CB9-339051A90B28}"/>
              </a:ext>
            </a:extLst>
          </xdr:cNvPr>
          <xdr:cNvSpPr/>
        </xdr:nvSpPr>
        <xdr:spPr>
          <a:xfrm>
            <a:off x="4084320" y="106680"/>
            <a:ext cx="1592580" cy="861060"/>
          </a:xfrm>
          <a:prstGeom prst="roundRect">
            <a:avLst>
              <a:gd name="adj" fmla="val 5738"/>
            </a:avLst>
          </a:prstGeom>
          <a:grpFill/>
        </xdr:spPr>
        <xdr:style>
          <a:lnRef idx="3">
            <a:schemeClr val="lt1"/>
          </a:lnRef>
          <a:fillRef idx="1">
            <a:schemeClr val="accent2"/>
          </a:fillRef>
          <a:effectRef idx="1">
            <a:schemeClr val="accent2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b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87A1F263-8DFE-4EDE-A46E-474AF51C47D4}" type="TxLink">
              <a:rPr lang="en-US" sz="12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marL="0" indent="0" algn="ctr"/>
              <a:t>500</a:t>
            </a:fld>
            <a:endParaRPr lang="fr-FR" sz="12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endParaRPr>
          </a:p>
        </xdr:txBody>
      </xdr:sp>
      <xdr:sp macro="" textlink="">
        <xdr:nvSpPr>
          <xdr:cNvPr id="12" name="ZoneTexte 11">
            <a:extLst>
              <a:ext uri="{FF2B5EF4-FFF2-40B4-BE49-F238E27FC236}">
                <a16:creationId xmlns:a16="http://schemas.microsoft.com/office/drawing/2014/main" id="{E773A32C-CBC9-D890-B159-58F7BA5CCB7B}"/>
              </a:ext>
            </a:extLst>
          </xdr:cNvPr>
          <xdr:cNvSpPr txBox="1"/>
        </xdr:nvSpPr>
        <xdr:spPr>
          <a:xfrm>
            <a:off x="4145280" y="167640"/>
            <a:ext cx="1463040" cy="480060"/>
          </a:xfrm>
          <a:prstGeom prst="rect">
            <a:avLst/>
          </a:prstGeom>
          <a:solidFill>
            <a:schemeClr val="accent2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100" b="1">
                <a:solidFill>
                  <a:schemeClr val="tx2">
                    <a:lumMod val="75000"/>
                  </a:schemeClr>
                </a:solidFill>
              </a:rPr>
              <a:t>Total des Événements / Incidents</a:t>
            </a:r>
          </a:p>
        </xdr:txBody>
      </xdr:sp>
    </xdr:grpSp>
    <xdr:clientData/>
  </xdr:twoCellAnchor>
  <xdr:twoCellAnchor>
    <xdr:from>
      <xdr:col>11</xdr:col>
      <xdr:colOff>396240</xdr:colOff>
      <xdr:row>0</xdr:row>
      <xdr:rowOff>106680</xdr:rowOff>
    </xdr:from>
    <xdr:to>
      <xdr:col>13</xdr:col>
      <xdr:colOff>396240</xdr:colOff>
      <xdr:row>5</xdr:row>
      <xdr:rowOff>83820</xdr:rowOff>
    </xdr:to>
    <xdr:grpSp>
      <xdr:nvGrpSpPr>
        <xdr:cNvPr id="13" name="Groupe 12">
          <a:extLst>
            <a:ext uri="{FF2B5EF4-FFF2-40B4-BE49-F238E27FC236}">
              <a16:creationId xmlns:a16="http://schemas.microsoft.com/office/drawing/2014/main" id="{C2EC83D6-C764-4834-8525-695F4764BE9A}"/>
            </a:ext>
          </a:extLst>
        </xdr:cNvPr>
        <xdr:cNvGrpSpPr/>
      </xdr:nvGrpSpPr>
      <xdr:grpSpPr>
        <a:xfrm>
          <a:off x="9113520" y="106680"/>
          <a:ext cx="1584960" cy="891540"/>
          <a:chOff x="7452360" y="114300"/>
          <a:chExt cx="1584960" cy="891540"/>
        </a:xfrm>
        <a:solidFill>
          <a:schemeClr val="tx2">
            <a:lumMod val="75000"/>
          </a:schemeClr>
        </a:solidFill>
      </xdr:grpSpPr>
      <xdr:sp macro="" textlink="TCD!A12">
        <xdr:nvSpPr>
          <xdr:cNvPr id="14" name="Rectangle : coins arrondis 13">
            <a:extLst>
              <a:ext uri="{FF2B5EF4-FFF2-40B4-BE49-F238E27FC236}">
                <a16:creationId xmlns:a16="http://schemas.microsoft.com/office/drawing/2014/main" id="{89ACFB0B-0974-17F3-824F-0C95D9A23D80}"/>
              </a:ext>
            </a:extLst>
          </xdr:cNvPr>
          <xdr:cNvSpPr/>
        </xdr:nvSpPr>
        <xdr:spPr>
          <a:xfrm>
            <a:off x="7452360" y="114300"/>
            <a:ext cx="1584960" cy="891540"/>
          </a:xfrm>
          <a:prstGeom prst="roundRect">
            <a:avLst>
              <a:gd name="adj" fmla="val 5738"/>
            </a:avLst>
          </a:prstGeom>
          <a:grpFill/>
        </xdr:spPr>
        <xdr:style>
          <a:lnRef idx="3">
            <a:schemeClr val="lt1"/>
          </a:lnRef>
          <a:fillRef idx="1">
            <a:schemeClr val="accent2"/>
          </a:fillRef>
          <a:effectRef idx="1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18DD81E8-1E93-4508-AE14-DEF5B445EADD}" type="TxLink">
              <a:rPr lang="en-US" sz="12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562</a:t>
            </a:fld>
            <a:endParaRPr lang="fr-FR" sz="1200" b="1">
              <a:solidFill>
                <a:schemeClr val="bg1"/>
              </a:solidFill>
            </a:endParaRPr>
          </a:p>
        </xdr:txBody>
      </xdr:sp>
      <xdr:sp macro="" textlink="">
        <xdr:nvSpPr>
          <xdr:cNvPr id="15" name="ZoneTexte 14">
            <a:extLst>
              <a:ext uri="{FF2B5EF4-FFF2-40B4-BE49-F238E27FC236}">
                <a16:creationId xmlns:a16="http://schemas.microsoft.com/office/drawing/2014/main" id="{7B6FA800-8ED3-19FC-A0A0-7D396EFE6D6E}"/>
              </a:ext>
            </a:extLst>
          </xdr:cNvPr>
          <xdr:cNvSpPr txBox="1"/>
        </xdr:nvSpPr>
        <xdr:spPr>
          <a:xfrm>
            <a:off x="7566660" y="198120"/>
            <a:ext cx="1404000" cy="480060"/>
          </a:xfrm>
          <a:prstGeom prst="rect">
            <a:avLst/>
          </a:prstGeom>
          <a:solidFill>
            <a:schemeClr val="accent2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100" b="1">
                <a:solidFill>
                  <a:schemeClr val="tx2">
                    <a:lumMod val="75000"/>
                  </a:schemeClr>
                </a:solidFill>
              </a:rPr>
              <a:t>Total Jours d'Arrêt de Travail</a:t>
            </a:r>
          </a:p>
        </xdr:txBody>
      </xdr:sp>
    </xdr:grpSp>
    <xdr:clientData/>
  </xdr:twoCellAnchor>
  <xdr:twoCellAnchor>
    <xdr:from>
      <xdr:col>9</xdr:col>
      <xdr:colOff>289560</xdr:colOff>
      <xdr:row>0</xdr:row>
      <xdr:rowOff>91440</xdr:rowOff>
    </xdr:from>
    <xdr:to>
      <xdr:col>11</xdr:col>
      <xdr:colOff>243840</xdr:colOff>
      <xdr:row>5</xdr:row>
      <xdr:rowOff>68580</xdr:rowOff>
    </xdr:to>
    <xdr:grpSp>
      <xdr:nvGrpSpPr>
        <xdr:cNvPr id="16" name="Groupe 15">
          <a:extLst>
            <a:ext uri="{FF2B5EF4-FFF2-40B4-BE49-F238E27FC236}">
              <a16:creationId xmlns:a16="http://schemas.microsoft.com/office/drawing/2014/main" id="{086CE834-0616-4601-A6E0-E8D6DE6296F2}"/>
            </a:ext>
          </a:extLst>
        </xdr:cNvPr>
        <xdr:cNvGrpSpPr/>
      </xdr:nvGrpSpPr>
      <xdr:grpSpPr>
        <a:xfrm>
          <a:off x="7421880" y="91440"/>
          <a:ext cx="1539240" cy="891540"/>
          <a:chOff x="5806440" y="99060"/>
          <a:chExt cx="1539240" cy="891540"/>
        </a:xfrm>
      </xdr:grpSpPr>
      <xdr:sp macro="" textlink="TCD!H12">
        <xdr:nvSpPr>
          <xdr:cNvPr id="17" name="Rectangle : coins arrondis 16">
            <a:extLst>
              <a:ext uri="{FF2B5EF4-FFF2-40B4-BE49-F238E27FC236}">
                <a16:creationId xmlns:a16="http://schemas.microsoft.com/office/drawing/2014/main" id="{6ACB9866-4DA8-3DF6-D0E1-24DD4B3937EF}"/>
              </a:ext>
            </a:extLst>
          </xdr:cNvPr>
          <xdr:cNvSpPr/>
        </xdr:nvSpPr>
        <xdr:spPr>
          <a:xfrm>
            <a:off x="5806440" y="99060"/>
            <a:ext cx="1539240" cy="891540"/>
          </a:xfrm>
          <a:prstGeom prst="roundRect">
            <a:avLst>
              <a:gd name="adj" fmla="val 5738"/>
            </a:avLst>
          </a:prstGeom>
          <a:solidFill>
            <a:schemeClr val="accent1">
              <a:lumMod val="50000"/>
            </a:schemeClr>
          </a:solidFill>
        </xdr:spPr>
        <xdr:style>
          <a:lnRef idx="3">
            <a:schemeClr val="lt1"/>
          </a:lnRef>
          <a:fillRef idx="1">
            <a:schemeClr val="accent2"/>
          </a:fillRef>
          <a:effectRef idx="1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C8FAC041-772F-4669-8813-97D7DFA0D1BF}" type="TxLink">
              <a:rPr lang="en-US" sz="12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178 349 917 F CFA</a:t>
            </a:fld>
            <a:endParaRPr lang="fr-FR" sz="1200" b="1">
              <a:solidFill>
                <a:schemeClr val="bg1"/>
              </a:solidFill>
            </a:endParaRPr>
          </a:p>
        </xdr:txBody>
      </xdr:sp>
      <xdr:sp macro="" textlink="">
        <xdr:nvSpPr>
          <xdr:cNvPr id="18" name="ZoneTexte 17">
            <a:extLst>
              <a:ext uri="{FF2B5EF4-FFF2-40B4-BE49-F238E27FC236}">
                <a16:creationId xmlns:a16="http://schemas.microsoft.com/office/drawing/2014/main" id="{560FA1BC-D4E7-44C0-B1A3-C0B2ABCCD580}"/>
              </a:ext>
            </a:extLst>
          </xdr:cNvPr>
          <xdr:cNvSpPr txBox="1"/>
        </xdr:nvSpPr>
        <xdr:spPr>
          <a:xfrm>
            <a:off x="5890260" y="182880"/>
            <a:ext cx="1379220" cy="480060"/>
          </a:xfrm>
          <a:prstGeom prst="rect">
            <a:avLst/>
          </a:prstGeom>
          <a:solidFill>
            <a:schemeClr val="accent2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100" b="1">
                <a:solidFill>
                  <a:schemeClr val="tx2">
                    <a:lumMod val="75000"/>
                  </a:schemeClr>
                </a:solidFill>
              </a:rPr>
              <a:t>Coût Total Estimé (FCFA)</a:t>
            </a:r>
          </a:p>
        </xdr:txBody>
      </xdr:sp>
    </xdr:grpSp>
    <xdr:clientData/>
  </xdr:twoCellAnchor>
  <xdr:twoCellAnchor>
    <xdr:from>
      <xdr:col>1</xdr:col>
      <xdr:colOff>457200</xdr:colOff>
      <xdr:row>0</xdr:row>
      <xdr:rowOff>83820</xdr:rowOff>
    </xdr:from>
    <xdr:to>
      <xdr:col>6</xdr:col>
      <xdr:colOff>746760</xdr:colOff>
      <xdr:row>5</xdr:row>
      <xdr:rowOff>60960</xdr:rowOff>
    </xdr:to>
    <xdr:sp macro="" textlink="">
      <xdr:nvSpPr>
        <xdr:cNvPr id="19" name="Rectangle : coins arrondis 18">
          <a:extLst>
            <a:ext uri="{FF2B5EF4-FFF2-40B4-BE49-F238E27FC236}">
              <a16:creationId xmlns:a16="http://schemas.microsoft.com/office/drawing/2014/main" id="{31824222-82DB-43CF-9364-55CB2B2F36B7}"/>
            </a:ext>
          </a:extLst>
        </xdr:cNvPr>
        <xdr:cNvSpPr/>
      </xdr:nvSpPr>
      <xdr:spPr>
        <a:xfrm>
          <a:off x="1249680" y="83820"/>
          <a:ext cx="4251960" cy="891540"/>
        </a:xfrm>
        <a:prstGeom prst="roundRect">
          <a:avLst>
            <a:gd name="adj" fmla="val 5738"/>
          </a:avLst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548640</xdr:colOff>
      <xdr:row>0</xdr:row>
      <xdr:rowOff>114300</xdr:rowOff>
    </xdr:from>
    <xdr:to>
      <xdr:col>15</xdr:col>
      <xdr:colOff>541020</xdr:colOff>
      <xdr:row>5</xdr:row>
      <xdr:rowOff>91440</xdr:rowOff>
    </xdr:to>
    <xdr:grpSp>
      <xdr:nvGrpSpPr>
        <xdr:cNvPr id="20" name="Groupe 19">
          <a:extLst>
            <a:ext uri="{FF2B5EF4-FFF2-40B4-BE49-F238E27FC236}">
              <a16:creationId xmlns:a16="http://schemas.microsoft.com/office/drawing/2014/main" id="{746B69E1-8770-4EB7-8883-8D94D33F7FD8}"/>
            </a:ext>
          </a:extLst>
        </xdr:cNvPr>
        <xdr:cNvGrpSpPr/>
      </xdr:nvGrpSpPr>
      <xdr:grpSpPr>
        <a:xfrm>
          <a:off x="10850880" y="114300"/>
          <a:ext cx="1577340" cy="891540"/>
          <a:chOff x="10850880" y="114300"/>
          <a:chExt cx="1577340" cy="891540"/>
        </a:xfrm>
      </xdr:grpSpPr>
      <xdr:sp macro="" textlink="TCD!E4">
        <xdr:nvSpPr>
          <xdr:cNvPr id="21" name="Rectangle : coins arrondis 20">
            <a:extLst>
              <a:ext uri="{FF2B5EF4-FFF2-40B4-BE49-F238E27FC236}">
                <a16:creationId xmlns:a16="http://schemas.microsoft.com/office/drawing/2014/main" id="{B71DF4FD-4082-A431-FEE0-39264B667B53}"/>
              </a:ext>
            </a:extLst>
          </xdr:cNvPr>
          <xdr:cNvSpPr/>
        </xdr:nvSpPr>
        <xdr:spPr>
          <a:xfrm>
            <a:off x="10850880" y="114300"/>
            <a:ext cx="1577340" cy="891540"/>
          </a:xfrm>
          <a:prstGeom prst="roundRect">
            <a:avLst>
              <a:gd name="adj" fmla="val 5738"/>
            </a:avLst>
          </a:prstGeom>
          <a:solidFill>
            <a:schemeClr val="tx2">
              <a:lumMod val="75000"/>
            </a:schemeClr>
          </a:solidFill>
        </xdr:spPr>
        <xdr:style>
          <a:lnRef idx="3">
            <a:schemeClr val="lt1"/>
          </a:lnRef>
          <a:fillRef idx="1">
            <a:schemeClr val="accent2"/>
          </a:fillRef>
          <a:effectRef idx="1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85345443-AB94-4113-AE77-B6B921944D65}" type="TxLink">
              <a:rPr lang="en-US" sz="12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247</a:t>
            </a:fld>
            <a:endParaRPr lang="fr-FR" sz="1200" b="1">
              <a:solidFill>
                <a:schemeClr val="bg1"/>
              </a:solidFill>
            </a:endParaRPr>
          </a:p>
        </xdr:txBody>
      </xdr:sp>
      <xdr:sp macro="" textlink="">
        <xdr:nvSpPr>
          <xdr:cNvPr id="22" name="ZoneTexte 21">
            <a:extLst>
              <a:ext uri="{FF2B5EF4-FFF2-40B4-BE49-F238E27FC236}">
                <a16:creationId xmlns:a16="http://schemas.microsoft.com/office/drawing/2014/main" id="{6D4D32EF-301D-F375-7C1A-0042A74985CF}"/>
              </a:ext>
            </a:extLst>
          </xdr:cNvPr>
          <xdr:cNvSpPr txBox="1"/>
        </xdr:nvSpPr>
        <xdr:spPr>
          <a:xfrm>
            <a:off x="10942320" y="228600"/>
            <a:ext cx="1404000" cy="480060"/>
          </a:xfrm>
          <a:prstGeom prst="rect">
            <a:avLst/>
          </a:prstGeom>
          <a:solidFill>
            <a:schemeClr val="accent2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100" b="1">
                <a:solidFill>
                  <a:schemeClr val="tx2">
                    <a:lumMod val="75000"/>
                  </a:schemeClr>
                </a:solidFill>
              </a:rPr>
              <a:t>Nb Accident de Travail (avec arrêt)</a:t>
            </a:r>
          </a:p>
        </xdr:txBody>
      </xdr:sp>
    </xdr:grpSp>
    <xdr:clientData/>
  </xdr:twoCellAnchor>
  <xdr:twoCellAnchor>
    <xdr:from>
      <xdr:col>15</xdr:col>
      <xdr:colOff>655320</xdr:colOff>
      <xdr:row>0</xdr:row>
      <xdr:rowOff>121920</xdr:rowOff>
    </xdr:from>
    <xdr:to>
      <xdr:col>17</xdr:col>
      <xdr:colOff>571500</xdr:colOff>
      <xdr:row>5</xdr:row>
      <xdr:rowOff>99060</xdr:rowOff>
    </xdr:to>
    <xdr:grpSp>
      <xdr:nvGrpSpPr>
        <xdr:cNvPr id="23" name="Groupe 22">
          <a:extLst>
            <a:ext uri="{FF2B5EF4-FFF2-40B4-BE49-F238E27FC236}">
              <a16:creationId xmlns:a16="http://schemas.microsoft.com/office/drawing/2014/main" id="{97B088CC-9493-42E6-A035-01BD1E690487}"/>
            </a:ext>
          </a:extLst>
        </xdr:cNvPr>
        <xdr:cNvGrpSpPr/>
      </xdr:nvGrpSpPr>
      <xdr:grpSpPr>
        <a:xfrm>
          <a:off x="12542520" y="121920"/>
          <a:ext cx="1501140" cy="891540"/>
          <a:chOff x="12542520" y="121920"/>
          <a:chExt cx="1501140" cy="891540"/>
        </a:xfrm>
        <a:solidFill>
          <a:schemeClr val="tx2">
            <a:lumMod val="75000"/>
          </a:schemeClr>
        </a:solidFill>
      </xdr:grpSpPr>
      <xdr:sp macro="" textlink="TCD!B21">
        <xdr:nvSpPr>
          <xdr:cNvPr id="24" name="Rectangle : coins arrondis 23">
            <a:extLst>
              <a:ext uri="{FF2B5EF4-FFF2-40B4-BE49-F238E27FC236}">
                <a16:creationId xmlns:a16="http://schemas.microsoft.com/office/drawing/2014/main" id="{AEA7EFF1-DCF6-A401-0D40-659D19505A49}"/>
              </a:ext>
            </a:extLst>
          </xdr:cNvPr>
          <xdr:cNvSpPr/>
        </xdr:nvSpPr>
        <xdr:spPr>
          <a:xfrm>
            <a:off x="12542520" y="121920"/>
            <a:ext cx="1501140" cy="891540"/>
          </a:xfrm>
          <a:prstGeom prst="roundRect">
            <a:avLst>
              <a:gd name="adj" fmla="val 5738"/>
            </a:avLst>
          </a:prstGeom>
          <a:grpFill/>
        </xdr:spPr>
        <xdr:style>
          <a:lnRef idx="3">
            <a:schemeClr val="lt1"/>
          </a:lnRef>
          <a:fillRef idx="1">
            <a:schemeClr val="accent2"/>
          </a:fillRef>
          <a:effectRef idx="1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E3644456-9AE0-4C30-8784-04183AC0192C}" type="TxLink">
              <a:rPr lang="en-US" sz="12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82,36</a:t>
            </a:fld>
            <a:endParaRPr lang="fr-FR" sz="1200" b="1">
              <a:solidFill>
                <a:schemeClr val="bg1"/>
              </a:solidFill>
            </a:endParaRPr>
          </a:p>
        </xdr:txBody>
      </xdr:sp>
      <xdr:sp macro="" textlink="">
        <xdr:nvSpPr>
          <xdr:cNvPr id="25" name="ZoneTexte 24">
            <a:extLst>
              <a:ext uri="{FF2B5EF4-FFF2-40B4-BE49-F238E27FC236}">
                <a16:creationId xmlns:a16="http://schemas.microsoft.com/office/drawing/2014/main" id="{16E2EC78-6A50-0C1A-4464-ABE560EACEAF}"/>
              </a:ext>
            </a:extLst>
          </xdr:cNvPr>
          <xdr:cNvSpPr txBox="1"/>
        </xdr:nvSpPr>
        <xdr:spPr>
          <a:xfrm>
            <a:off x="12618720" y="228600"/>
            <a:ext cx="1325880" cy="480060"/>
          </a:xfrm>
          <a:prstGeom prst="rect">
            <a:avLst/>
          </a:prstGeom>
          <a:solidFill>
            <a:schemeClr val="accent2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100" b="1">
                <a:solidFill>
                  <a:schemeClr val="tx2">
                    <a:lumMod val="75000"/>
                  </a:schemeClr>
                </a:solidFill>
              </a:rPr>
              <a:t>Taux de Conformité (%)</a:t>
            </a:r>
          </a:p>
        </xdr:txBody>
      </xdr:sp>
    </xdr:grpSp>
    <xdr:clientData/>
  </xdr:twoCellAnchor>
  <xdr:twoCellAnchor>
    <xdr:from>
      <xdr:col>7</xdr:col>
      <xdr:colOff>281940</xdr:colOff>
      <xdr:row>18</xdr:row>
      <xdr:rowOff>60960</xdr:rowOff>
    </xdr:from>
    <xdr:to>
      <xdr:col>12</xdr:col>
      <xdr:colOff>403860</xdr:colOff>
      <xdr:row>32</xdr:row>
      <xdr:rowOff>167640</xdr:rowOff>
    </xdr:to>
    <xdr:graphicFrame macro="">
      <xdr:nvGraphicFramePr>
        <xdr:cNvPr id="26" name="Graphique 25">
          <a:extLst>
            <a:ext uri="{FF2B5EF4-FFF2-40B4-BE49-F238E27FC236}">
              <a16:creationId xmlns:a16="http://schemas.microsoft.com/office/drawing/2014/main" id="{6270CA8C-F791-43C6-A3D7-4158204F7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106680</xdr:colOff>
      <xdr:row>0</xdr:row>
      <xdr:rowOff>45720</xdr:rowOff>
    </xdr:from>
    <xdr:to>
      <xdr:col>1</xdr:col>
      <xdr:colOff>358200</xdr:colOff>
      <xdr:row>9</xdr:row>
      <xdr:rowOff>91800</xdr:rowOff>
    </xdr:to>
    <xdr:sp macro="" textlink="">
      <xdr:nvSpPr>
        <xdr:cNvPr id="27" name="Rectangle : coins arrondis 26">
          <a:extLst>
            <a:ext uri="{FF2B5EF4-FFF2-40B4-BE49-F238E27FC236}">
              <a16:creationId xmlns:a16="http://schemas.microsoft.com/office/drawing/2014/main" id="{571011F5-17CE-41A1-B091-D14C88D973AA}"/>
            </a:ext>
          </a:extLst>
        </xdr:cNvPr>
        <xdr:cNvSpPr/>
      </xdr:nvSpPr>
      <xdr:spPr>
        <a:xfrm>
          <a:off x="106680" y="45720"/>
          <a:ext cx="1044000" cy="1692000"/>
        </a:xfrm>
        <a:prstGeom prst="roundRect">
          <a:avLst>
            <a:gd name="adj" fmla="val 5738"/>
          </a:avLst>
        </a:prstGeom>
        <a:solidFill>
          <a:schemeClr val="tx2">
            <a:lumMod val="75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oneCellAnchor>
    <xdr:from>
      <xdr:col>1</xdr:col>
      <xdr:colOff>457200</xdr:colOff>
      <xdr:row>0</xdr:row>
      <xdr:rowOff>99060</xdr:rowOff>
    </xdr:from>
    <xdr:ext cx="4244340" cy="81534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6DF19E10-0FAA-49BE-9CB8-F973132E4AE0}"/>
            </a:ext>
          </a:extLst>
        </xdr:cNvPr>
        <xdr:cNvSpPr/>
      </xdr:nvSpPr>
      <xdr:spPr>
        <a:xfrm>
          <a:off x="1249680" y="99060"/>
          <a:ext cx="4244340" cy="815340"/>
        </a:xfrm>
        <a:prstGeom prst="rect">
          <a:avLst/>
        </a:prstGeom>
        <a:solidFill>
          <a:schemeClr val="tx2">
            <a:lumMod val="75000"/>
          </a:schemeClr>
        </a:solidFill>
        <a:ln w="3175">
          <a:solidFill>
            <a:schemeClr val="bg1"/>
          </a:solidFill>
        </a:ln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fr-FR" sz="28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Tableau</a:t>
          </a:r>
          <a:r>
            <a:rPr lang="fr-FR" sz="28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 de bord </a:t>
          </a:r>
        </a:p>
        <a:p>
          <a:pPr algn="ctr"/>
          <a:r>
            <a:rPr lang="fr-FR" sz="28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QHSE</a:t>
          </a:r>
          <a:endParaRPr lang="fr-FR" sz="28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oneCellAnchor>
  <xdr:twoCellAnchor editAs="oneCell">
    <xdr:from>
      <xdr:col>0</xdr:col>
      <xdr:colOff>282060</xdr:colOff>
      <xdr:row>0</xdr:row>
      <xdr:rowOff>68580</xdr:rowOff>
    </xdr:from>
    <xdr:to>
      <xdr:col>1</xdr:col>
      <xdr:colOff>152520</xdr:colOff>
      <xdr:row>4</xdr:row>
      <xdr:rowOff>0</xdr:rowOff>
    </xdr:to>
    <xdr:pic>
      <xdr:nvPicPr>
        <xdr:cNvPr id="29" name="Graphique 1" descr="Graphique à barres avec tendance à la baisse avec un remplissage uni">
          <a:extLst>
            <a:ext uri="{FF2B5EF4-FFF2-40B4-BE49-F238E27FC236}">
              <a16:creationId xmlns:a16="http://schemas.microsoft.com/office/drawing/2014/main" id="{D8C283E0-A368-498A-975E-248C72023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82060" y="68580"/>
          <a:ext cx="662940" cy="662940"/>
        </a:xfrm>
        <a:prstGeom prst="rect">
          <a:avLst/>
        </a:prstGeom>
      </xdr:spPr>
    </xdr:pic>
    <xdr:clientData/>
  </xdr:twoCellAnchor>
  <xdr:twoCellAnchor editAs="oneCell">
    <xdr:from>
      <xdr:col>0</xdr:col>
      <xdr:colOff>236280</xdr:colOff>
      <xdr:row>5</xdr:row>
      <xdr:rowOff>60</xdr:rowOff>
    </xdr:from>
    <xdr:to>
      <xdr:col>1</xdr:col>
      <xdr:colOff>251460</xdr:colOff>
      <xdr:row>9</xdr:row>
      <xdr:rowOff>76200</xdr:rowOff>
    </xdr:to>
    <xdr:pic>
      <xdr:nvPicPr>
        <xdr:cNvPr id="30" name="Graphique 1" descr="Base de données avec un remplissage un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5338ADE-DA70-4AE1-8499-A61B4ED6A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36280" y="914460"/>
          <a:ext cx="807660" cy="807660"/>
        </a:xfrm>
        <a:prstGeom prst="rect">
          <a:avLst/>
        </a:prstGeom>
      </xdr:spPr>
    </xdr:pic>
    <xdr:clientData/>
  </xdr:twoCellAnchor>
  <xdr:twoCellAnchor editAs="oneCell">
    <xdr:from>
      <xdr:col>5</xdr:col>
      <xdr:colOff>624840</xdr:colOff>
      <xdr:row>0</xdr:row>
      <xdr:rowOff>38100</xdr:rowOff>
    </xdr:from>
    <xdr:to>
      <xdr:col>6</xdr:col>
      <xdr:colOff>746760</xdr:colOff>
      <xdr:row>5</xdr:row>
      <xdr:rowOff>38100</xdr:rowOff>
    </xdr:to>
    <xdr:pic>
      <xdr:nvPicPr>
        <xdr:cNvPr id="31" name="Graphique 30" descr="Badge d'employé avec un remplissage uni">
          <a:extLst>
            <a:ext uri="{FF2B5EF4-FFF2-40B4-BE49-F238E27FC236}">
              <a16:creationId xmlns:a16="http://schemas.microsoft.com/office/drawing/2014/main" id="{D4D5F2B9-F3E8-4E7E-A609-F927D5488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4587240" y="38100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160020</xdr:colOff>
      <xdr:row>11</xdr:row>
      <xdr:rowOff>0</xdr:rowOff>
    </xdr:from>
    <xdr:to>
      <xdr:col>7</xdr:col>
      <xdr:colOff>167640</xdr:colOff>
      <xdr:row>12</xdr:row>
      <xdr:rowOff>83820</xdr:rowOff>
    </xdr:to>
    <xdr:sp macro="" textlink="">
      <xdr:nvSpPr>
        <xdr:cNvPr id="32" name="Rectangle : coins arrondis 31">
          <a:extLst>
            <a:ext uri="{FF2B5EF4-FFF2-40B4-BE49-F238E27FC236}">
              <a16:creationId xmlns:a16="http://schemas.microsoft.com/office/drawing/2014/main" id="{5247FC14-AFAE-4007-8BDB-26E7F350361F}"/>
            </a:ext>
          </a:extLst>
        </xdr:cNvPr>
        <xdr:cNvSpPr/>
      </xdr:nvSpPr>
      <xdr:spPr>
        <a:xfrm>
          <a:off x="160020" y="2011680"/>
          <a:ext cx="5554980" cy="266700"/>
        </a:xfrm>
        <a:prstGeom prst="roundRect">
          <a:avLst>
            <a:gd name="adj" fmla="val 5738"/>
          </a:avLst>
        </a:prstGeom>
        <a:solidFill>
          <a:schemeClr val="tx2">
            <a:lumMod val="75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500" b="1" i="0" u="none" strike="noStrike">
              <a:solidFill>
                <a:schemeClr val="bg1"/>
              </a:solidFill>
              <a:latin typeface="+mn-lt"/>
              <a:ea typeface="Calibri"/>
              <a:cs typeface="Calibri"/>
            </a:rPr>
            <a:t>Coût Total Estimé (FCFA) par Evenement</a:t>
          </a:r>
        </a:p>
      </xdr:txBody>
    </xdr:sp>
    <xdr:clientData/>
  </xdr:twoCellAnchor>
  <xdr:twoCellAnchor editAs="oneCell">
    <xdr:from>
      <xdr:col>12</xdr:col>
      <xdr:colOff>647700</xdr:colOff>
      <xdr:row>3</xdr:row>
      <xdr:rowOff>157200</xdr:rowOff>
    </xdr:from>
    <xdr:to>
      <xdr:col>13</xdr:col>
      <xdr:colOff>107220</xdr:colOff>
      <xdr:row>5</xdr:row>
      <xdr:rowOff>43440</xdr:rowOff>
    </xdr:to>
    <xdr:pic>
      <xdr:nvPicPr>
        <xdr:cNvPr id="34" name="Graphique 33" descr="Éclair avec un remplissage uni">
          <a:extLst>
            <a:ext uri="{FF2B5EF4-FFF2-40B4-BE49-F238E27FC236}">
              <a16:creationId xmlns:a16="http://schemas.microsoft.com/office/drawing/2014/main" id="{0FC5FAA4-E8F7-5821-28E0-401392869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0157460" y="705840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8</xdr:col>
      <xdr:colOff>531000</xdr:colOff>
      <xdr:row>3</xdr:row>
      <xdr:rowOff>66180</xdr:rowOff>
    </xdr:from>
    <xdr:to>
      <xdr:col>9</xdr:col>
      <xdr:colOff>98520</xdr:colOff>
      <xdr:row>5</xdr:row>
      <xdr:rowOff>60420</xdr:rowOff>
    </xdr:to>
    <xdr:pic>
      <xdr:nvPicPr>
        <xdr:cNvPr id="36" name="Graphique 35" descr="Ligne fléchée : droite avec un remplissage uni">
          <a:extLst>
            <a:ext uri="{FF2B5EF4-FFF2-40B4-BE49-F238E27FC236}">
              <a16:creationId xmlns:a16="http://schemas.microsoft.com/office/drawing/2014/main" id="{197DA15C-982D-6AD8-E8CE-F1C86880A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6870840" y="61482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17</xdr:col>
      <xdr:colOff>63780</xdr:colOff>
      <xdr:row>3</xdr:row>
      <xdr:rowOff>129540</xdr:rowOff>
    </xdr:from>
    <xdr:to>
      <xdr:col>17</xdr:col>
      <xdr:colOff>423780</xdr:colOff>
      <xdr:row>5</xdr:row>
      <xdr:rowOff>123780</xdr:rowOff>
    </xdr:to>
    <xdr:pic>
      <xdr:nvPicPr>
        <xdr:cNvPr id="38" name="Graphique 37" descr="Statistiques avec un remplissage uni">
          <a:extLst>
            <a:ext uri="{FF2B5EF4-FFF2-40B4-BE49-F238E27FC236}">
              <a16:creationId xmlns:a16="http://schemas.microsoft.com/office/drawing/2014/main" id="{4045EEFE-CFF8-2D47-BECA-8A56491D1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3535940" y="67818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653340</xdr:colOff>
      <xdr:row>10</xdr:row>
      <xdr:rowOff>152820</xdr:rowOff>
    </xdr:from>
    <xdr:to>
      <xdr:col>7</xdr:col>
      <xdr:colOff>184860</xdr:colOff>
      <xdr:row>12</xdr:row>
      <xdr:rowOff>111060</xdr:rowOff>
    </xdr:to>
    <xdr:pic>
      <xdr:nvPicPr>
        <xdr:cNvPr id="40" name="Graphique 39" descr="Tendance à la hausse avec un remplissage uni">
          <a:extLst>
            <a:ext uri="{FF2B5EF4-FFF2-40B4-BE49-F238E27FC236}">
              <a16:creationId xmlns:a16="http://schemas.microsoft.com/office/drawing/2014/main" id="{4570A7DB-70AD-D75B-A182-A445F5A1D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5408220" y="1981620"/>
          <a:ext cx="324000" cy="324000"/>
        </a:xfrm>
        <a:prstGeom prst="rect">
          <a:avLst/>
        </a:prstGeom>
      </xdr:spPr>
    </xdr:pic>
    <xdr:clientData/>
  </xdr:twoCellAnchor>
  <xdr:twoCellAnchor editAs="oneCell">
    <xdr:from>
      <xdr:col>14</xdr:col>
      <xdr:colOff>767640</xdr:colOff>
      <xdr:row>3</xdr:row>
      <xdr:rowOff>150420</xdr:rowOff>
    </xdr:from>
    <xdr:to>
      <xdr:col>15</xdr:col>
      <xdr:colOff>251460</xdr:colOff>
      <xdr:row>5</xdr:row>
      <xdr:rowOff>60960</xdr:rowOff>
    </xdr:to>
    <xdr:pic>
      <xdr:nvPicPr>
        <xdr:cNvPr id="42" name="Graphique 41" descr="Avertissement avec un remplissage uni">
          <a:extLst>
            <a:ext uri="{FF2B5EF4-FFF2-40B4-BE49-F238E27FC236}">
              <a16:creationId xmlns:a16="http://schemas.microsoft.com/office/drawing/2014/main" id="{D060E12F-75B5-0CA9-C564-7834314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11862360" y="699060"/>
          <a:ext cx="276300" cy="276300"/>
        </a:xfrm>
        <a:prstGeom prst="rect">
          <a:avLst/>
        </a:prstGeom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0.00774</cdr:x>
      <cdr:y>0.04</cdr:y>
    </cdr:from>
    <cdr:to>
      <cdr:x>0.98703</cdr:x>
      <cdr:y>0.24</cdr:y>
    </cdr:to>
    <cdr:sp macro="" textlink="">
      <cdr:nvSpPr>
        <cdr:cNvPr id="2" name="Rectangle : coins arrondis 1">
          <a:extLst xmlns:a="http://schemas.openxmlformats.org/drawingml/2006/main">
            <a:ext uri="{FF2B5EF4-FFF2-40B4-BE49-F238E27FC236}">
              <a16:creationId xmlns:a16="http://schemas.microsoft.com/office/drawing/2014/main" id="{3E332DC2-BECA-9086-2ADE-8BFF92F7C75A}"/>
            </a:ext>
          </a:extLst>
        </cdr:cNvPr>
        <cdr:cNvSpPr/>
      </cdr:nvSpPr>
      <cdr:spPr>
        <a:xfrm xmlns:a="http://schemas.openxmlformats.org/drawingml/2006/main">
          <a:off x="63660" y="53340"/>
          <a:ext cx="8051640" cy="266700"/>
        </a:xfrm>
        <a:prstGeom xmlns:a="http://schemas.openxmlformats.org/drawingml/2006/main" prst="roundRect">
          <a:avLst>
            <a:gd name="adj" fmla="val 5738"/>
          </a:avLst>
        </a:prstGeom>
        <a:solidFill xmlns:a="http://schemas.openxmlformats.org/drawingml/2006/main">
          <a:schemeClr val="tx2">
            <a:lumMod val="75000"/>
          </a:schemeClr>
        </a:solidFill>
      </cdr:spPr>
      <cdr:style>
        <a:lnRef xmlns:a="http://schemas.openxmlformats.org/drawingml/2006/main" idx="3">
          <a:schemeClr val="lt1"/>
        </a:lnRef>
        <a:fillRef xmlns:a="http://schemas.openxmlformats.org/drawingml/2006/main" idx="1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r>
            <a:rPr lang="en-US" sz="1500" b="1" i="0" u="none" strike="noStrike">
              <a:solidFill>
                <a:schemeClr val="bg1"/>
              </a:solidFill>
              <a:latin typeface="+mn-lt"/>
              <a:ea typeface="Calibri"/>
              <a:cs typeface="Calibri"/>
            </a:rPr>
            <a:t>Nombre</a:t>
          </a:r>
          <a:r>
            <a:rPr lang="en-US" sz="1500" b="1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 par Department</a:t>
          </a:r>
          <a:endParaRPr lang="en-US" sz="1500" b="1" i="0" u="none" strike="noStrike">
            <a:solidFill>
              <a:schemeClr val="bg1"/>
            </a:solidFill>
            <a:latin typeface="+mn-lt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0.94872</cdr:x>
      <cdr:y>0.02095</cdr:y>
    </cdr:from>
    <cdr:to>
      <cdr:x>0.98812</cdr:x>
      <cdr:y>0.26392</cdr:y>
    </cdr:to>
    <cdr:pic>
      <cdr:nvPicPr>
        <cdr:cNvPr id="3" name="Graphique 39" descr="Tendance à la hausse avec un remplissage uni">
          <a:extLst xmlns:a="http://schemas.openxmlformats.org/drawingml/2006/main">
            <a:ext uri="{FF2B5EF4-FFF2-40B4-BE49-F238E27FC236}">
              <a16:creationId xmlns:a16="http://schemas.microsoft.com/office/drawing/2014/main" id="{4570A7DB-70AD-D75B-A182-A445F5A1D88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800340" y="27940"/>
          <a:ext cx="324000" cy="324000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0.01246</cdr:x>
      <cdr:y>0.01932</cdr:y>
    </cdr:from>
    <cdr:to>
      <cdr:x>0.98383</cdr:x>
      <cdr:y>0.12077</cdr:y>
    </cdr:to>
    <cdr:sp macro="" textlink="">
      <cdr:nvSpPr>
        <cdr:cNvPr id="2" name="Rectangle : coins arrondis 1">
          <a:extLst xmlns:a="http://schemas.openxmlformats.org/drawingml/2006/main">
            <a:ext uri="{FF2B5EF4-FFF2-40B4-BE49-F238E27FC236}">
              <a16:creationId xmlns:a16="http://schemas.microsoft.com/office/drawing/2014/main" id="{714284E2-489E-B8D4-CDC5-27528B7B737F}"/>
            </a:ext>
          </a:extLst>
        </cdr:cNvPr>
        <cdr:cNvSpPr/>
      </cdr:nvSpPr>
      <cdr:spPr>
        <a:xfrm xmlns:a="http://schemas.openxmlformats.org/drawingml/2006/main">
          <a:off x="50800" y="50800"/>
          <a:ext cx="3960000" cy="266700"/>
        </a:xfrm>
        <a:prstGeom xmlns:a="http://schemas.openxmlformats.org/drawingml/2006/main" prst="roundRect">
          <a:avLst>
            <a:gd name="adj" fmla="val 5738"/>
          </a:avLst>
        </a:prstGeom>
        <a:solidFill xmlns:a="http://schemas.openxmlformats.org/drawingml/2006/main">
          <a:schemeClr val="tx2">
            <a:lumMod val="75000"/>
          </a:schemeClr>
        </a:solidFill>
      </cdr:spPr>
      <cdr:style>
        <a:lnRef xmlns:a="http://schemas.openxmlformats.org/drawingml/2006/main" idx="3">
          <a:schemeClr val="lt1"/>
        </a:lnRef>
        <a:fillRef xmlns:a="http://schemas.openxmlformats.org/drawingml/2006/main" idx="1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r>
            <a:rPr lang="en-US" sz="1500" b="1" i="0" u="none" strike="noStrike">
              <a:solidFill>
                <a:schemeClr val="bg1"/>
              </a:solidFill>
              <a:latin typeface="+mn-lt"/>
              <a:ea typeface="Calibri"/>
              <a:cs typeface="Calibri"/>
            </a:rPr>
            <a:t>Nombre</a:t>
          </a:r>
          <a:r>
            <a:rPr lang="en-US" sz="1500" b="1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 par action</a:t>
          </a:r>
          <a:endParaRPr lang="en-US" sz="1500" b="1" i="0" u="none" strike="noStrike">
            <a:solidFill>
              <a:schemeClr val="bg1"/>
            </a:solidFill>
            <a:latin typeface="+mn-lt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0.90779</cdr:x>
      <cdr:y>0.00773</cdr:y>
    </cdr:from>
    <cdr:to>
      <cdr:x>0.98726</cdr:x>
      <cdr:y>0.13097</cdr:y>
    </cdr:to>
    <cdr:pic>
      <cdr:nvPicPr>
        <cdr:cNvPr id="3" name="Graphique 39" descr="Tendance à la hausse avec un remplissage uni">
          <a:extLst xmlns:a="http://schemas.openxmlformats.org/drawingml/2006/main">
            <a:ext uri="{FF2B5EF4-FFF2-40B4-BE49-F238E27FC236}">
              <a16:creationId xmlns:a16="http://schemas.microsoft.com/office/drawing/2014/main" id="{4570A7DB-70AD-D75B-A182-A445F5A1D88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700780" y="20320"/>
          <a:ext cx="324000" cy="324000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0.01493</cdr:x>
      <cdr:y>0.02</cdr:y>
    </cdr:from>
    <cdr:to>
      <cdr:x>0.98449</cdr:x>
      <cdr:y>0.12</cdr:y>
    </cdr:to>
    <cdr:sp macro="" textlink="">
      <cdr:nvSpPr>
        <cdr:cNvPr id="3" name="Rectangle : coins arrondis 2">
          <a:extLst xmlns:a="http://schemas.openxmlformats.org/drawingml/2006/main">
            <a:ext uri="{FF2B5EF4-FFF2-40B4-BE49-F238E27FC236}">
              <a16:creationId xmlns:a16="http://schemas.microsoft.com/office/drawing/2014/main" id="{5247FC14-AFAE-4007-8BDB-26E7F350361F}"/>
            </a:ext>
          </a:extLst>
        </cdr:cNvPr>
        <cdr:cNvSpPr/>
      </cdr:nvSpPr>
      <cdr:spPr>
        <a:xfrm xmlns:a="http://schemas.openxmlformats.org/drawingml/2006/main">
          <a:off x="60960" y="53340"/>
          <a:ext cx="3960000" cy="266700"/>
        </a:xfrm>
        <a:prstGeom xmlns:a="http://schemas.openxmlformats.org/drawingml/2006/main" prst="roundRect">
          <a:avLst>
            <a:gd name="adj" fmla="val 5738"/>
          </a:avLst>
        </a:prstGeom>
        <a:solidFill xmlns:a="http://schemas.openxmlformats.org/drawingml/2006/main">
          <a:schemeClr val="tx2">
            <a:lumMod val="75000"/>
          </a:schemeClr>
        </a:solidFill>
      </cdr:spPr>
      <cdr:style>
        <a:lnRef xmlns:a="http://schemas.openxmlformats.org/drawingml/2006/main" idx="3">
          <a:schemeClr val="lt1"/>
        </a:lnRef>
        <a:fillRef xmlns:a="http://schemas.openxmlformats.org/drawingml/2006/main" idx="1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r>
            <a:rPr lang="en-US" sz="1500" b="1" i="0" u="none" strike="noStrike">
              <a:solidFill>
                <a:schemeClr val="bg1"/>
              </a:solidFill>
              <a:latin typeface="+mn-lt"/>
              <a:ea typeface="Calibri"/>
              <a:cs typeface="Calibri"/>
            </a:rPr>
            <a:t>Taux</a:t>
          </a:r>
          <a:r>
            <a:rPr lang="en-US" sz="1500" b="1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 de conformité par site</a:t>
          </a:r>
          <a:endParaRPr lang="en-US" sz="1500" b="1" i="0" u="none" strike="noStrike">
            <a:solidFill>
              <a:schemeClr val="bg1"/>
            </a:solidFill>
            <a:latin typeface="+mn-lt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0.90423</cdr:x>
      <cdr:y>0.01048</cdr:y>
    </cdr:from>
    <cdr:to>
      <cdr:x>0.98356</cdr:x>
      <cdr:y>0.13196</cdr:y>
    </cdr:to>
    <cdr:pic>
      <cdr:nvPicPr>
        <cdr:cNvPr id="2" name="Graphique 39" descr="Tendance à la hausse avec un remplissage uni">
          <a:extLst xmlns:a="http://schemas.openxmlformats.org/drawingml/2006/main">
            <a:ext uri="{FF2B5EF4-FFF2-40B4-BE49-F238E27FC236}">
              <a16:creationId xmlns:a16="http://schemas.microsoft.com/office/drawing/2014/main" id="{4570A7DB-70AD-D75B-A182-A445F5A1D88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693160" y="27940"/>
          <a:ext cx="324000" cy="324000"/>
        </a:xfrm>
        <a:prstGeom xmlns:a="http://schemas.openxmlformats.org/drawingml/2006/main" prst="rect">
          <a:avLst/>
        </a:prstGeom>
      </cdr:spPr>
    </cdr:pic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7.731140856478" createdVersion="8" refreshedVersion="8" minRefreshableVersion="3" recordCount="500" xr:uid="{0B24F633-9BA7-43A9-B441-989EBA56F303}">
  <cacheSource type="worksheet">
    <worksheetSource name="QHSE"/>
  </cacheSource>
  <cacheFields count="14">
    <cacheField name="ID_Incident" numFmtId="0">
      <sharedItems containsBlank="1"/>
    </cacheField>
    <cacheField name="Date" numFmtId="0">
      <sharedItems/>
    </cacheField>
    <cacheField name="Mois" numFmtId="166">
      <sharedItems count="24">
        <s v="Janvier"/>
        <s v="Février"/>
        <s v="Mars"/>
        <s v="Avril"/>
        <s v="Mai"/>
        <s v="Juin"/>
        <s v="Juillet"/>
        <s v="Août"/>
        <s v="Septembre"/>
        <s v="Octobre"/>
        <s v="Novembre"/>
        <s v="Decembre"/>
        <s v="October" u="1"/>
        <s v="November" u="1"/>
        <s v="December" u="1"/>
        <s v="January" u="1"/>
        <s v="February" u="1"/>
        <s v="March" u="1"/>
        <s v="April" u="1"/>
        <s v="May" u="1"/>
        <s v="June" u="1"/>
        <s v="July" u="1"/>
        <s v="August" u="1"/>
        <s v="September" u="1"/>
      </sharedItems>
    </cacheField>
    <cacheField name="Site" numFmtId="0">
      <sharedItems count="5">
        <s v="Usine Principale Abidjan"/>
        <s v="Site Agricole Aboisso"/>
        <s v="Entrepôt Logistique San Pedro"/>
        <s v="Agence Secondaire Yamoussoukro"/>
        <s v="Unité Transformation Bouaké"/>
      </sharedItems>
    </cacheField>
    <cacheField name="Departement" numFmtId="0">
      <sharedItems count="6">
        <s v="Production"/>
        <s v="Sécurité / Gardiennage"/>
        <s v="Logistique / Entrepôt"/>
        <s v="Conditionnement"/>
        <s v="Maintenance"/>
        <s v="Administration"/>
      </sharedItems>
    </cacheField>
    <cacheField name="Type_Evenement" numFmtId="0">
      <sharedItems count="6">
        <s v="Accident du Travail (avec arrêt)"/>
        <s v="Presqu'accident (Near Miss)"/>
        <s v="Accident du Travail (sans arrêt)"/>
        <s v="Non-conformité Environnementale"/>
        <s v="Incident Matériel / Dégât"/>
        <s v="Situation Dangereuse"/>
      </sharedItems>
    </cacheField>
    <cacheField name="Gravite" numFmtId="0">
      <sharedItems containsSemiMixedTypes="0" containsString="0" containsNumber="1" containsInteger="1" minValue="1" maxValue="4"/>
    </cacheField>
    <cacheField name="Cause_Racine" numFmtId="0">
      <sharedItems/>
    </cacheField>
    <cacheField name="Jours_Arret" numFmtId="0">
      <sharedItems containsSemiMixedTypes="0" containsString="0" containsNumber="1" containsInteger="1" minValue="0" maxValue="14"/>
    </cacheField>
    <cacheField name="Cout_Estime_FCFA" numFmtId="0">
      <sharedItems containsSemiMixedTypes="0" containsString="0" containsNumber="1" containsInteger="1" minValue="10084" maxValue="4864973"/>
    </cacheField>
    <cacheField name="Statut_Action" numFmtId="0">
      <sharedItems count="4">
        <s v="En cours"/>
        <s v="Clôturée"/>
        <s v="Planifiée"/>
        <s v="En retard"/>
      </sharedItems>
    </cacheField>
    <cacheField name="Responsable_Traitement" numFmtId="0">
      <sharedItems/>
    </cacheField>
    <cacheField name="Score_Audit_5S" numFmtId="0">
      <sharedItems containsSemiMixedTypes="0" containsString="0" containsNumber="1" containsInteger="1" minValue="65" maxValue="99"/>
    </cacheField>
    <cacheField name="N_Mois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 pivotCacheId="13563924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QHSE-2026-105"/>
    <s v="2026-01-02"/>
    <x v="0"/>
    <x v="0"/>
    <x v="0"/>
    <x v="0"/>
    <n v="4"/>
    <s v="Organisation du travail / Charge"/>
    <n v="7"/>
    <n v="1274021"/>
    <x v="0"/>
    <s v="Ressources Humaines"/>
    <n v="83"/>
    <n v="1"/>
  </r>
  <r>
    <s v="QHSE-2026-106"/>
    <s v="2026-01-03"/>
    <x v="0"/>
    <x v="0"/>
    <x v="1"/>
    <x v="1"/>
    <n v="2"/>
    <s v="Défaillance technique / Matériel usé"/>
    <n v="0"/>
    <n v="202631"/>
    <x v="1"/>
    <s v="Production"/>
    <n v="71"/>
    <n v="1"/>
  </r>
  <r>
    <s v="QHSE-2026-107"/>
    <s v="2026-01-04"/>
    <x v="0"/>
    <x v="1"/>
    <x v="1"/>
    <x v="2"/>
    <n v="2"/>
    <s v="Défaut de maintenance préventive"/>
    <n v="0"/>
    <n v="131661"/>
    <x v="2"/>
    <s v="Logistique"/>
    <n v="99"/>
    <n v="1"/>
  </r>
  <r>
    <s v="QHSE-2026-108"/>
    <s v="2026-01-04"/>
    <x v="0"/>
    <x v="1"/>
    <x v="2"/>
    <x v="3"/>
    <n v="1"/>
    <s v="Environnement de travail (Sol glissant, éclairage)"/>
    <n v="0"/>
    <n v="40369"/>
    <x v="2"/>
    <s v="Ressources Humaines"/>
    <n v="82"/>
    <n v="1"/>
  </r>
  <r>
    <s v="QHSE-2026-109"/>
    <s v="2026-01-04"/>
    <x v="0"/>
    <x v="2"/>
    <x v="1"/>
    <x v="0"/>
    <n v="2"/>
    <s v="Erreur humaine / Inattention"/>
    <n v="6"/>
    <n v="230721"/>
    <x v="0"/>
    <s v="Maintenance"/>
    <n v="80"/>
    <n v="1"/>
  </r>
  <r>
    <s v="QHSE-2026-110"/>
    <s v="2026-01-04"/>
    <x v="0"/>
    <x v="3"/>
    <x v="3"/>
    <x v="3"/>
    <n v="2"/>
    <s v="Manque de formation / Sensibilisation"/>
    <n v="0"/>
    <n v="96552"/>
    <x v="3"/>
    <s v="Maintenance"/>
    <n v="68"/>
    <n v="1"/>
  </r>
  <r>
    <s v="QHSE-2026-111"/>
    <s v="2026-01-05"/>
    <x v="0"/>
    <x v="2"/>
    <x v="4"/>
    <x v="0"/>
    <n v="4"/>
    <s v="Erreur humaine / Inattention"/>
    <n v="7"/>
    <n v="4229584"/>
    <x v="1"/>
    <s v="Production"/>
    <n v="89"/>
    <n v="1"/>
  </r>
  <r>
    <s v="QHSE-2026-112"/>
    <s v="2026-01-05"/>
    <x v="0"/>
    <x v="0"/>
    <x v="4"/>
    <x v="4"/>
    <n v="2"/>
    <s v="Défaut de maintenance préventive"/>
    <n v="0"/>
    <n v="61818"/>
    <x v="0"/>
    <s v="Maintenance"/>
    <n v="96"/>
    <n v="1"/>
  </r>
  <r>
    <s v="QHSE-2026-113"/>
    <s v="2026-01-06"/>
    <x v="0"/>
    <x v="4"/>
    <x v="5"/>
    <x v="2"/>
    <n v="1"/>
    <s v="Manque de formation / Sensibilisation"/>
    <n v="0"/>
    <n v="45953"/>
    <x v="1"/>
    <s v="Service QHSE"/>
    <n v="77"/>
    <n v="1"/>
  </r>
  <r>
    <s v="QHSE-2026-114"/>
    <s v="2026-01-07"/>
    <x v="0"/>
    <x v="0"/>
    <x v="5"/>
    <x v="0"/>
    <n v="4"/>
    <s v="Défaut de maintenance préventive"/>
    <n v="1"/>
    <n v="3603074"/>
    <x v="2"/>
    <s v="Logistique"/>
    <n v="81"/>
    <n v="1"/>
  </r>
  <r>
    <s v="QHSE-2026-115"/>
    <s v="2026-01-07"/>
    <x v="0"/>
    <x v="3"/>
    <x v="4"/>
    <x v="5"/>
    <n v="2"/>
    <s v="Manque de formation / Sensibilisation"/>
    <n v="0"/>
    <n v="224845"/>
    <x v="1"/>
    <s v="Ressources Humaines"/>
    <n v="70"/>
    <n v="1"/>
  </r>
  <r>
    <s v="QHSE-2026-116"/>
    <s v="2026-01-07"/>
    <x v="0"/>
    <x v="0"/>
    <x v="5"/>
    <x v="1"/>
    <n v="2"/>
    <s v="Erreur humaine / Inattention"/>
    <n v="0"/>
    <n v="50037"/>
    <x v="0"/>
    <s v="Logistique"/>
    <n v="83"/>
    <n v="1"/>
  </r>
  <r>
    <s v="QHSE-2026-117"/>
    <s v="2026-01-07"/>
    <x v="0"/>
    <x v="3"/>
    <x v="2"/>
    <x v="1"/>
    <n v="2"/>
    <s v="Manque de formation / Sensibilisation"/>
    <n v="0"/>
    <n v="83816"/>
    <x v="2"/>
    <s v="Production"/>
    <n v="77"/>
    <n v="1"/>
  </r>
  <r>
    <s v="QHSE-2026-118"/>
    <s v="2026-01-07"/>
    <x v="0"/>
    <x v="0"/>
    <x v="1"/>
    <x v="5"/>
    <n v="2"/>
    <s v="Manque de formation / Sensibilisation"/>
    <n v="0"/>
    <n v="127951"/>
    <x v="1"/>
    <s v="Ressources Humaines"/>
    <n v="90"/>
    <n v="1"/>
  </r>
  <r>
    <s v="QHSE-2026-119"/>
    <s v="2026-01-07"/>
    <x v="0"/>
    <x v="4"/>
    <x v="4"/>
    <x v="5"/>
    <n v="2"/>
    <s v="Défaillance technique / Matériel usé"/>
    <n v="0"/>
    <n v="125900"/>
    <x v="1"/>
    <s v="Ressources Humaines"/>
    <n v="78"/>
    <n v="1"/>
  </r>
  <r>
    <s v="QHSE-2026-120"/>
    <s v="2026-01-08"/>
    <x v="0"/>
    <x v="2"/>
    <x v="5"/>
    <x v="1"/>
    <n v="2"/>
    <s v="Organisation du travail / Charge"/>
    <n v="0"/>
    <n v="95346"/>
    <x v="0"/>
    <s v="Service QHSE"/>
    <n v="95"/>
    <n v="1"/>
  </r>
  <r>
    <s v="QHSE-2026-121"/>
    <s v="2026-01-08"/>
    <x v="0"/>
    <x v="3"/>
    <x v="4"/>
    <x v="1"/>
    <n v="2"/>
    <s v="Organisation du travail / Charge"/>
    <n v="0"/>
    <n v="126322"/>
    <x v="1"/>
    <s v="Production"/>
    <n v="68"/>
    <n v="1"/>
  </r>
  <r>
    <s v="QHSE-2026-122"/>
    <s v="2026-01-08"/>
    <x v="0"/>
    <x v="0"/>
    <x v="3"/>
    <x v="5"/>
    <n v="1"/>
    <s v="Environnement de travail (Sol glissant, éclairage)"/>
    <n v="0"/>
    <n v="15153"/>
    <x v="1"/>
    <s v="Maintenance"/>
    <n v="72"/>
    <n v="1"/>
  </r>
  <r>
    <s v="QHSE-2026-123"/>
    <s v="2026-01-09"/>
    <x v="0"/>
    <x v="2"/>
    <x v="0"/>
    <x v="0"/>
    <n v="2"/>
    <s v="Environnement de travail (Sol glissant, éclairage)"/>
    <n v="1"/>
    <n v="132552"/>
    <x v="1"/>
    <s v="Service QHSE"/>
    <n v="89"/>
    <n v="1"/>
  </r>
  <r>
    <s v="QHSE-2026-124"/>
    <s v="2026-01-09"/>
    <x v="0"/>
    <x v="3"/>
    <x v="1"/>
    <x v="0"/>
    <n v="3"/>
    <s v="Défaillance technique / Matériel usé"/>
    <n v="8"/>
    <n v="851765"/>
    <x v="1"/>
    <s v="Service QHSE"/>
    <n v="77"/>
    <n v="1"/>
  </r>
  <r>
    <s v="QHSE-2026-125"/>
    <s v="2026-01-09"/>
    <x v="0"/>
    <x v="2"/>
    <x v="4"/>
    <x v="0"/>
    <n v="2"/>
    <s v="Environnement de travail (Sol glissant, éclairage)"/>
    <n v="13"/>
    <n v="145814"/>
    <x v="2"/>
    <s v="Logistique"/>
    <n v="96"/>
    <n v="1"/>
  </r>
  <r>
    <s v="QHSE-2026-126"/>
    <s v="2026-01-11"/>
    <x v="0"/>
    <x v="1"/>
    <x v="0"/>
    <x v="1"/>
    <n v="2"/>
    <s v="Défaut de maintenance préventive"/>
    <n v="0"/>
    <n v="53600"/>
    <x v="1"/>
    <s v="Logistique"/>
    <n v="92"/>
    <n v="1"/>
  </r>
  <r>
    <s v="QHSE-2026-127"/>
    <s v="2026-01-11"/>
    <x v="0"/>
    <x v="1"/>
    <x v="5"/>
    <x v="5"/>
    <n v="1"/>
    <s v="Erreur humaine / Inattention"/>
    <n v="0"/>
    <n v="26857"/>
    <x v="1"/>
    <s v="Logistique"/>
    <n v="94"/>
    <n v="1"/>
  </r>
  <r>
    <s v="QHSE-2026-128"/>
    <s v="2026-01-11"/>
    <x v="0"/>
    <x v="2"/>
    <x v="0"/>
    <x v="1"/>
    <n v="1"/>
    <s v="Non-respect des consignes de sécurité / EPI"/>
    <n v="0"/>
    <n v="11087"/>
    <x v="1"/>
    <s v="Service QHSE"/>
    <n v="67"/>
    <n v="1"/>
  </r>
  <r>
    <s v="QHSE-2026-129"/>
    <s v="2026-01-12"/>
    <x v="0"/>
    <x v="1"/>
    <x v="1"/>
    <x v="0"/>
    <n v="4"/>
    <s v="Défaut de maintenance préventive"/>
    <n v="13"/>
    <n v="4864973"/>
    <x v="1"/>
    <s v="Maintenance"/>
    <n v="92"/>
    <n v="1"/>
  </r>
  <r>
    <s v="QHSE-2026-130"/>
    <s v="2026-01-12"/>
    <x v="0"/>
    <x v="2"/>
    <x v="4"/>
    <x v="1"/>
    <n v="2"/>
    <s v="Non-respect des consignes de sécurité / EPI"/>
    <n v="0"/>
    <n v="75490"/>
    <x v="1"/>
    <s v="Ressources Humaines"/>
    <n v="67"/>
    <n v="1"/>
  </r>
  <r>
    <s v="QHSE-2026-131"/>
    <s v="2026-01-14"/>
    <x v="0"/>
    <x v="4"/>
    <x v="3"/>
    <x v="5"/>
    <n v="2"/>
    <s v="Non-respect des consignes de sécurité / EPI"/>
    <n v="0"/>
    <n v="191537"/>
    <x v="1"/>
    <s v="Logistique"/>
    <n v="98"/>
    <n v="1"/>
  </r>
  <r>
    <s v="QHSE-2026-132"/>
    <s v="2026-01-14"/>
    <x v="0"/>
    <x v="0"/>
    <x v="5"/>
    <x v="5"/>
    <n v="1"/>
    <s v="Défaillance technique / Matériel usé"/>
    <n v="0"/>
    <n v="48911"/>
    <x v="1"/>
    <s v="Maintenance"/>
    <n v="80"/>
    <n v="1"/>
  </r>
  <r>
    <s v="QHSE-2026-133"/>
    <s v="2026-01-15"/>
    <x v="0"/>
    <x v="0"/>
    <x v="4"/>
    <x v="3"/>
    <n v="1"/>
    <s v="Défaut de maintenance préventive"/>
    <n v="0"/>
    <n v="43041"/>
    <x v="1"/>
    <s v="Production"/>
    <n v="86"/>
    <n v="1"/>
  </r>
  <r>
    <s v="QHSE-2026-134"/>
    <s v="2026-01-16"/>
    <x v="0"/>
    <x v="3"/>
    <x v="1"/>
    <x v="3"/>
    <n v="3"/>
    <s v="Défaillance technique / Matériel usé"/>
    <n v="0"/>
    <n v="774486"/>
    <x v="0"/>
    <s v="Logistique"/>
    <n v="96"/>
    <n v="1"/>
  </r>
  <r>
    <s v="QHSE-2026-135"/>
    <s v="2026-01-16"/>
    <x v="0"/>
    <x v="4"/>
    <x v="5"/>
    <x v="4"/>
    <n v="2"/>
    <s v="Manque de formation / Sensibilisation"/>
    <n v="0"/>
    <n v="217892"/>
    <x v="1"/>
    <s v="Ressources Humaines"/>
    <n v="72"/>
    <n v="1"/>
  </r>
  <r>
    <s v="QHSE-2026-136"/>
    <s v="2026-01-20"/>
    <x v="0"/>
    <x v="2"/>
    <x v="2"/>
    <x v="2"/>
    <n v="1"/>
    <s v="Non-respect des consignes de sécurité / EPI"/>
    <n v="0"/>
    <n v="49271"/>
    <x v="0"/>
    <s v="Production"/>
    <n v="72"/>
    <n v="1"/>
  </r>
  <r>
    <s v="QHSE-2026-137"/>
    <s v="2026-01-20"/>
    <x v="0"/>
    <x v="1"/>
    <x v="0"/>
    <x v="3"/>
    <n v="1"/>
    <s v="Erreur humaine / Inattention"/>
    <n v="0"/>
    <n v="34853"/>
    <x v="1"/>
    <s v="Production"/>
    <n v="70"/>
    <n v="1"/>
  </r>
  <r>
    <s v="QHSE-2026-138"/>
    <s v="2026-01-21"/>
    <x v="0"/>
    <x v="0"/>
    <x v="1"/>
    <x v="1"/>
    <n v="2"/>
    <s v="Environnement de travail (Sol glissant, éclairage)"/>
    <n v="0"/>
    <n v="161836"/>
    <x v="1"/>
    <s v="Ressources Humaines"/>
    <n v="78"/>
    <n v="1"/>
  </r>
  <r>
    <s v="QHSE-2026-139"/>
    <s v="2026-01-21"/>
    <x v="0"/>
    <x v="0"/>
    <x v="2"/>
    <x v="3"/>
    <n v="1"/>
    <s v="Erreur humaine / Inattention"/>
    <n v="0"/>
    <n v="35129"/>
    <x v="0"/>
    <s v="Logistique"/>
    <n v="96"/>
    <n v="1"/>
  </r>
  <r>
    <s v="QHSE-2026-140"/>
    <s v="2026-01-21"/>
    <x v="0"/>
    <x v="2"/>
    <x v="4"/>
    <x v="4"/>
    <n v="3"/>
    <s v="Environnement de travail (Sol glissant, éclairage)"/>
    <n v="0"/>
    <n v="649506"/>
    <x v="1"/>
    <s v="Service QHSE"/>
    <n v="99"/>
    <n v="1"/>
  </r>
  <r>
    <s v="QHSE-2026-141"/>
    <s v="2026-01-21"/>
    <x v="0"/>
    <x v="2"/>
    <x v="3"/>
    <x v="5"/>
    <n v="2"/>
    <s v="Non-respect des consignes de sécurité / EPI"/>
    <n v="0"/>
    <n v="177017"/>
    <x v="2"/>
    <s v="Ressources Humaines"/>
    <n v="74"/>
    <n v="1"/>
  </r>
  <r>
    <s v="QHSE-2026-142"/>
    <s v="2026-01-21"/>
    <x v="0"/>
    <x v="2"/>
    <x v="5"/>
    <x v="4"/>
    <n v="3"/>
    <s v="Non-respect des consignes de sécurité / EPI"/>
    <n v="0"/>
    <n v="587381"/>
    <x v="0"/>
    <s v="Ressources Humaines"/>
    <n v="67"/>
    <n v="1"/>
  </r>
  <r>
    <s v="QHSE-2026-143"/>
    <s v="2026-01-22"/>
    <x v="0"/>
    <x v="0"/>
    <x v="0"/>
    <x v="5"/>
    <n v="2"/>
    <s v="Non-respect des consignes de sécurité / EPI"/>
    <n v="0"/>
    <n v="93688"/>
    <x v="1"/>
    <s v="Ressources Humaines"/>
    <n v="76"/>
    <n v="1"/>
  </r>
  <r>
    <s v="QHSE-2026-144"/>
    <s v="2026-01-24"/>
    <x v="0"/>
    <x v="3"/>
    <x v="5"/>
    <x v="1"/>
    <n v="2"/>
    <s v="Défaillance technique / Matériel usé"/>
    <n v="0"/>
    <n v="74049"/>
    <x v="2"/>
    <s v="Production"/>
    <n v="95"/>
    <n v="1"/>
  </r>
  <r>
    <s v="QHSE-2026-145"/>
    <s v="2026-01-24"/>
    <x v="0"/>
    <x v="3"/>
    <x v="4"/>
    <x v="1"/>
    <n v="2"/>
    <s v="Défaut de maintenance préventive"/>
    <n v="0"/>
    <n v="63668"/>
    <x v="0"/>
    <s v="Maintenance"/>
    <n v="93"/>
    <n v="1"/>
  </r>
  <r>
    <s v="QHSE-2026-146"/>
    <s v="2026-01-24"/>
    <x v="0"/>
    <x v="1"/>
    <x v="5"/>
    <x v="5"/>
    <n v="1"/>
    <s v="Environnement de travail (Sol glissant, éclairage)"/>
    <n v="0"/>
    <n v="20532"/>
    <x v="1"/>
    <s v="Service QHSE"/>
    <n v="69"/>
    <n v="1"/>
  </r>
  <r>
    <s v="QHSE-2026-147"/>
    <s v="2026-01-25"/>
    <x v="0"/>
    <x v="2"/>
    <x v="0"/>
    <x v="2"/>
    <n v="2"/>
    <s v="Défaut de maintenance préventive"/>
    <n v="0"/>
    <n v="59224"/>
    <x v="1"/>
    <s v="Logistique"/>
    <n v="89"/>
    <n v="1"/>
  </r>
  <r>
    <s v="QHSE-2026-148"/>
    <s v="2026-01-26"/>
    <x v="0"/>
    <x v="0"/>
    <x v="4"/>
    <x v="3"/>
    <n v="1"/>
    <s v="Défaillance technique / Matériel usé"/>
    <n v="0"/>
    <n v="32686"/>
    <x v="1"/>
    <s v="Logistique"/>
    <n v="95"/>
    <n v="1"/>
  </r>
  <r>
    <s v="QHSE-2026-149"/>
    <s v="2026-01-28"/>
    <x v="0"/>
    <x v="4"/>
    <x v="5"/>
    <x v="1"/>
    <n v="2"/>
    <s v="Défaillance technique / Matériel usé"/>
    <n v="0"/>
    <n v="106765"/>
    <x v="2"/>
    <s v="Maintenance"/>
    <n v="85"/>
    <n v="1"/>
  </r>
  <r>
    <s v="QHSE-2026-150"/>
    <s v="2026-01-28"/>
    <x v="0"/>
    <x v="1"/>
    <x v="3"/>
    <x v="1"/>
    <n v="2"/>
    <s v="Organisation du travail / Charge"/>
    <n v="0"/>
    <n v="214906"/>
    <x v="0"/>
    <s v="Ressources Humaines"/>
    <n v="84"/>
    <n v="1"/>
  </r>
  <r>
    <s v="QHSE-2026-151"/>
    <s v="2026-01-29"/>
    <x v="0"/>
    <x v="0"/>
    <x v="1"/>
    <x v="0"/>
    <n v="2"/>
    <s v="Erreur humaine / Inattention"/>
    <n v="2"/>
    <n v="64848"/>
    <x v="3"/>
    <s v="Service QHSE"/>
    <n v="86"/>
    <n v="1"/>
  </r>
  <r>
    <s v="QHSE-2026-152"/>
    <s v="2026-01-30"/>
    <x v="0"/>
    <x v="4"/>
    <x v="4"/>
    <x v="5"/>
    <n v="2"/>
    <s v="Erreur humaine / Inattention"/>
    <n v="0"/>
    <n v="95270"/>
    <x v="0"/>
    <s v="Logistique"/>
    <n v="68"/>
    <n v="1"/>
  </r>
  <r>
    <s v="QHSE-2026-153"/>
    <s v="2026-01-30"/>
    <x v="0"/>
    <x v="4"/>
    <x v="1"/>
    <x v="1"/>
    <n v="1"/>
    <s v="Manque de formation / Sensibilisation"/>
    <n v="0"/>
    <n v="39209"/>
    <x v="1"/>
    <s v="Logistique"/>
    <n v="77"/>
    <n v="1"/>
  </r>
  <r>
    <s v="QHSE-2026-154"/>
    <s v="2026-01-31"/>
    <x v="0"/>
    <x v="3"/>
    <x v="4"/>
    <x v="2"/>
    <n v="1"/>
    <s v="Défaillance technique / Matériel usé"/>
    <n v="0"/>
    <n v="33952"/>
    <x v="1"/>
    <s v="Ressources Humaines"/>
    <n v="84"/>
    <n v="1"/>
  </r>
  <r>
    <s v="QHSE-2026-155"/>
    <s v="2026-02-01"/>
    <x v="1"/>
    <x v="1"/>
    <x v="3"/>
    <x v="5"/>
    <n v="1"/>
    <s v="Environnement de travail (Sol glissant, éclairage)"/>
    <n v="0"/>
    <n v="12579"/>
    <x v="0"/>
    <s v="Maintenance"/>
    <n v="77"/>
    <n v="2"/>
  </r>
  <r>
    <s v="QHSE-2026-156"/>
    <s v="2026-02-01"/>
    <x v="1"/>
    <x v="1"/>
    <x v="1"/>
    <x v="2"/>
    <n v="1"/>
    <s v="Organisation du travail / Charge"/>
    <n v="0"/>
    <n v="45089"/>
    <x v="1"/>
    <s v="Service QHSE"/>
    <n v="81"/>
    <n v="2"/>
  </r>
  <r>
    <s v="QHSE-2026-157"/>
    <s v="2026-02-02"/>
    <x v="1"/>
    <x v="2"/>
    <x v="2"/>
    <x v="1"/>
    <n v="2"/>
    <s v="Organisation du travail / Charge"/>
    <n v="0"/>
    <n v="225452"/>
    <x v="3"/>
    <s v="Maintenance"/>
    <n v="97"/>
    <n v="2"/>
  </r>
  <r>
    <s v="QHSE-2026-158"/>
    <s v="2026-02-03"/>
    <x v="1"/>
    <x v="3"/>
    <x v="0"/>
    <x v="1"/>
    <n v="2"/>
    <s v="Défaut de maintenance préventive"/>
    <n v="0"/>
    <n v="116081"/>
    <x v="1"/>
    <s v="Maintenance"/>
    <n v="65"/>
    <n v="2"/>
  </r>
  <r>
    <s v="QHSE-2026-159"/>
    <s v="2026-02-03"/>
    <x v="1"/>
    <x v="4"/>
    <x v="2"/>
    <x v="0"/>
    <n v="2"/>
    <s v="Erreur humaine / Inattention"/>
    <n v="12"/>
    <n v="118081"/>
    <x v="1"/>
    <s v="Service QHSE"/>
    <n v="79"/>
    <n v="2"/>
  </r>
  <r>
    <s v="QHSE-2026-160"/>
    <s v="2026-02-04"/>
    <x v="1"/>
    <x v="0"/>
    <x v="5"/>
    <x v="1"/>
    <n v="2"/>
    <s v="Défaillance technique / Matériel usé"/>
    <n v="0"/>
    <n v="247805"/>
    <x v="0"/>
    <s v="Service QHSE"/>
    <n v="77"/>
    <n v="2"/>
  </r>
  <r>
    <s v="QHSE-2026-161"/>
    <s v="2026-02-04"/>
    <x v="1"/>
    <x v="0"/>
    <x v="3"/>
    <x v="5"/>
    <n v="2"/>
    <s v="Manque de formation / Sensibilisation"/>
    <n v="0"/>
    <n v="175235"/>
    <x v="0"/>
    <s v="Logistique"/>
    <n v="81"/>
    <n v="2"/>
  </r>
  <r>
    <s v="QHSE-2026-162"/>
    <s v="2026-02-05"/>
    <x v="1"/>
    <x v="2"/>
    <x v="2"/>
    <x v="1"/>
    <n v="1"/>
    <s v="Défaillance technique / Matériel usé"/>
    <n v="0"/>
    <n v="31252"/>
    <x v="1"/>
    <s v="Logistique"/>
    <n v="88"/>
    <n v="2"/>
  </r>
  <r>
    <s v="QHSE-2026-163"/>
    <s v="2026-02-05"/>
    <x v="1"/>
    <x v="4"/>
    <x v="4"/>
    <x v="5"/>
    <n v="2"/>
    <s v="Défaut de maintenance préventive"/>
    <n v="0"/>
    <n v="217630"/>
    <x v="0"/>
    <s v="Service QHSE"/>
    <n v="72"/>
    <n v="2"/>
  </r>
  <r>
    <s v="QHSE-2026-164"/>
    <s v="2026-02-05"/>
    <x v="1"/>
    <x v="3"/>
    <x v="5"/>
    <x v="5"/>
    <n v="1"/>
    <s v="Non-respect des consignes de sécurité / EPI"/>
    <n v="0"/>
    <n v="21411"/>
    <x v="1"/>
    <s v="Production"/>
    <n v="91"/>
    <n v="2"/>
  </r>
  <r>
    <s v="QHSE-2026-165"/>
    <s v="2026-02-05"/>
    <x v="1"/>
    <x v="0"/>
    <x v="5"/>
    <x v="0"/>
    <n v="4"/>
    <s v="Défaillance technique / Matériel usé"/>
    <n v="10"/>
    <n v="2716730"/>
    <x v="0"/>
    <s v="Logistique"/>
    <n v="87"/>
    <n v="2"/>
  </r>
  <r>
    <s v="QHSE-2026-166"/>
    <s v="2026-02-06"/>
    <x v="1"/>
    <x v="2"/>
    <x v="2"/>
    <x v="0"/>
    <n v="3"/>
    <s v="Défaut de maintenance préventive"/>
    <n v="11"/>
    <n v="450832"/>
    <x v="0"/>
    <s v="Production"/>
    <n v="72"/>
    <n v="2"/>
  </r>
  <r>
    <s v="QHSE-2026-167"/>
    <s v="2026-02-06"/>
    <x v="1"/>
    <x v="2"/>
    <x v="2"/>
    <x v="1"/>
    <n v="2"/>
    <s v="Non-respect des consignes de sécurité / EPI"/>
    <n v="0"/>
    <n v="207832"/>
    <x v="2"/>
    <s v="Service QHSE"/>
    <n v="72"/>
    <n v="2"/>
  </r>
  <r>
    <s v="QHSE-2026-168"/>
    <s v="2026-02-06"/>
    <x v="1"/>
    <x v="3"/>
    <x v="3"/>
    <x v="4"/>
    <n v="3"/>
    <s v="Non-respect des consignes de sécurité / EPI"/>
    <n v="0"/>
    <n v="680012"/>
    <x v="2"/>
    <s v="Logistique"/>
    <n v="90"/>
    <n v="2"/>
  </r>
  <r>
    <s v="QHSE-2026-169"/>
    <s v="2026-02-07"/>
    <x v="1"/>
    <x v="4"/>
    <x v="0"/>
    <x v="4"/>
    <n v="2"/>
    <s v="Manque de formation / Sensibilisation"/>
    <n v="0"/>
    <n v="181765"/>
    <x v="1"/>
    <s v="Maintenance"/>
    <n v="77"/>
    <n v="2"/>
  </r>
  <r>
    <s v="QHSE-2026-170"/>
    <s v="2026-02-07"/>
    <x v="1"/>
    <x v="4"/>
    <x v="2"/>
    <x v="0"/>
    <n v="2"/>
    <s v="Environnement de travail (Sol glissant, éclairage)"/>
    <n v="9"/>
    <n v="100461"/>
    <x v="1"/>
    <s v="Service QHSE"/>
    <n v="92"/>
    <n v="2"/>
  </r>
  <r>
    <s v="QHSE-2026-171"/>
    <s v="2026-02-08"/>
    <x v="1"/>
    <x v="2"/>
    <x v="2"/>
    <x v="1"/>
    <n v="2"/>
    <s v="Erreur humaine / Inattention"/>
    <n v="0"/>
    <n v="94045"/>
    <x v="3"/>
    <s v="Ressources Humaines"/>
    <n v="89"/>
    <n v="2"/>
  </r>
  <r>
    <s v="QHSE-2026-172"/>
    <s v="2026-02-08"/>
    <x v="1"/>
    <x v="2"/>
    <x v="1"/>
    <x v="4"/>
    <n v="3"/>
    <s v="Défaillance technique / Matériel usé"/>
    <n v="0"/>
    <n v="616280"/>
    <x v="1"/>
    <s v="Production"/>
    <n v="80"/>
    <n v="2"/>
  </r>
  <r>
    <s v="QHSE-2026-173"/>
    <s v="2026-02-08"/>
    <x v="1"/>
    <x v="0"/>
    <x v="4"/>
    <x v="1"/>
    <n v="2"/>
    <s v="Non-respect des consignes de sécurité / EPI"/>
    <n v="0"/>
    <n v="197513"/>
    <x v="2"/>
    <s v="Service QHSE"/>
    <n v="66"/>
    <n v="2"/>
  </r>
  <r>
    <s v="QHSE-2026-174"/>
    <s v="2026-02-08"/>
    <x v="1"/>
    <x v="0"/>
    <x v="1"/>
    <x v="1"/>
    <n v="2"/>
    <s v="Défaillance technique / Matériel usé"/>
    <n v="0"/>
    <n v="155047"/>
    <x v="1"/>
    <s v="Service QHSE"/>
    <n v="82"/>
    <n v="2"/>
  </r>
  <r>
    <s v="QHSE-2026-175"/>
    <s v="2026-02-11"/>
    <x v="1"/>
    <x v="4"/>
    <x v="1"/>
    <x v="1"/>
    <n v="1"/>
    <s v="Environnement de travail (Sol glissant, éclairage)"/>
    <n v="0"/>
    <n v="11305"/>
    <x v="0"/>
    <s v="Logistique"/>
    <n v="81"/>
    <n v="2"/>
  </r>
  <r>
    <s v="QHSE-2026-176"/>
    <s v="2026-02-12"/>
    <x v="1"/>
    <x v="4"/>
    <x v="5"/>
    <x v="3"/>
    <n v="2"/>
    <s v="Erreur humaine / Inattention"/>
    <n v="0"/>
    <n v="223710"/>
    <x v="2"/>
    <s v="Logistique"/>
    <n v="94"/>
    <n v="2"/>
  </r>
  <r>
    <s v="QHSE-2026-177"/>
    <s v="2026-02-12"/>
    <x v="1"/>
    <x v="3"/>
    <x v="0"/>
    <x v="5"/>
    <n v="1"/>
    <s v="Environnement de travail (Sol glissant, éclairage)"/>
    <n v="0"/>
    <n v="12587"/>
    <x v="3"/>
    <s v="Logistique"/>
    <n v="77"/>
    <n v="2"/>
  </r>
  <r>
    <s v="QHSE-2026-178"/>
    <s v="2026-02-12"/>
    <x v="1"/>
    <x v="3"/>
    <x v="4"/>
    <x v="1"/>
    <n v="1"/>
    <s v="Erreur humaine / Inattention"/>
    <n v="0"/>
    <n v="48232"/>
    <x v="1"/>
    <s v="Ressources Humaines"/>
    <n v="96"/>
    <n v="2"/>
  </r>
  <r>
    <s v="QHSE-2026-179"/>
    <s v="2026-02-13"/>
    <x v="1"/>
    <x v="2"/>
    <x v="3"/>
    <x v="3"/>
    <n v="2"/>
    <s v="Organisation du travail / Charge"/>
    <n v="0"/>
    <n v="55028"/>
    <x v="0"/>
    <s v="Logistique"/>
    <n v="93"/>
    <n v="2"/>
  </r>
  <r>
    <s v="QHSE-2026-180"/>
    <s v="2026-02-14"/>
    <x v="1"/>
    <x v="1"/>
    <x v="3"/>
    <x v="0"/>
    <n v="4"/>
    <s v="Erreur humaine / Inattention"/>
    <n v="7"/>
    <n v="3777801"/>
    <x v="1"/>
    <s v="Service QHSE"/>
    <n v="94"/>
    <n v="2"/>
  </r>
  <r>
    <s v="QHSE-2026-181"/>
    <s v="2026-02-16"/>
    <x v="1"/>
    <x v="3"/>
    <x v="2"/>
    <x v="4"/>
    <n v="3"/>
    <s v="Manque de formation / Sensibilisation"/>
    <n v="0"/>
    <n v="311655"/>
    <x v="1"/>
    <s v="Logistique"/>
    <n v="82"/>
    <n v="2"/>
  </r>
  <r>
    <s v="QHSE-2026-182"/>
    <s v="2026-02-17"/>
    <x v="1"/>
    <x v="4"/>
    <x v="2"/>
    <x v="5"/>
    <n v="2"/>
    <s v="Environnement de travail (Sol glissant, éclairage)"/>
    <n v="0"/>
    <n v="232135"/>
    <x v="0"/>
    <s v="Maintenance"/>
    <n v="77"/>
    <n v="2"/>
  </r>
  <r>
    <s v="QHSE-2026-183"/>
    <s v="2026-02-19"/>
    <x v="1"/>
    <x v="0"/>
    <x v="3"/>
    <x v="1"/>
    <n v="1"/>
    <s v="Non-respect des consignes de sécurité / EPI"/>
    <n v="0"/>
    <n v="28577"/>
    <x v="0"/>
    <s v="Logistique"/>
    <n v="85"/>
    <n v="2"/>
  </r>
  <r>
    <s v="QHSE-2026-184"/>
    <s v="2026-02-20"/>
    <x v="1"/>
    <x v="2"/>
    <x v="2"/>
    <x v="4"/>
    <n v="3"/>
    <s v="Organisation du travail / Charge"/>
    <n v="0"/>
    <n v="353142"/>
    <x v="3"/>
    <s v="Ressources Humaines"/>
    <n v="94"/>
    <n v="2"/>
  </r>
  <r>
    <s v="QHSE-2026-185"/>
    <s v="2026-02-20"/>
    <x v="1"/>
    <x v="0"/>
    <x v="0"/>
    <x v="5"/>
    <n v="1"/>
    <s v="Manque de formation / Sensibilisation"/>
    <n v="0"/>
    <n v="23632"/>
    <x v="1"/>
    <s v="Maintenance"/>
    <n v="85"/>
    <n v="2"/>
  </r>
  <r>
    <s v="QHSE-2026-186"/>
    <s v="2026-02-21"/>
    <x v="1"/>
    <x v="3"/>
    <x v="1"/>
    <x v="1"/>
    <n v="2"/>
    <s v="Défaillance technique / Matériel usé"/>
    <n v="0"/>
    <n v="82964"/>
    <x v="1"/>
    <s v="Service QHSE"/>
    <n v="81"/>
    <n v="2"/>
  </r>
  <r>
    <s v="QHSE-2026-187"/>
    <s v="2026-02-21"/>
    <x v="1"/>
    <x v="1"/>
    <x v="2"/>
    <x v="4"/>
    <n v="2"/>
    <s v="Environnement de travail (Sol glissant, éclairage)"/>
    <n v="0"/>
    <n v="84116"/>
    <x v="1"/>
    <s v="Service QHSE"/>
    <n v="83"/>
    <n v="2"/>
  </r>
  <r>
    <s v="QHSE-2026-188"/>
    <s v="2026-02-21"/>
    <x v="1"/>
    <x v="0"/>
    <x v="5"/>
    <x v="5"/>
    <n v="2"/>
    <s v="Défaut de maintenance préventive"/>
    <n v="0"/>
    <n v="239621"/>
    <x v="1"/>
    <s v="Production"/>
    <n v="79"/>
    <n v="2"/>
  </r>
  <r>
    <s v="QHSE-2026-189"/>
    <s v="2026-02-21"/>
    <x v="1"/>
    <x v="1"/>
    <x v="2"/>
    <x v="4"/>
    <n v="3"/>
    <s v="Défaut de maintenance préventive"/>
    <n v="0"/>
    <n v="583934"/>
    <x v="1"/>
    <s v="Maintenance"/>
    <n v="73"/>
    <n v="2"/>
  </r>
  <r>
    <s v="QHSE-2026-190"/>
    <s v="2026-02-22"/>
    <x v="1"/>
    <x v="1"/>
    <x v="4"/>
    <x v="4"/>
    <n v="2"/>
    <s v="Non-respect des consignes de sécurité / EPI"/>
    <n v="0"/>
    <n v="207760"/>
    <x v="0"/>
    <s v="Production"/>
    <n v="74"/>
    <n v="2"/>
  </r>
  <r>
    <s v="QHSE-2026-191"/>
    <s v="2026-02-24"/>
    <x v="1"/>
    <x v="2"/>
    <x v="0"/>
    <x v="1"/>
    <n v="1"/>
    <s v="Erreur humaine / Inattention"/>
    <n v="0"/>
    <n v="35584"/>
    <x v="1"/>
    <s v="Maintenance"/>
    <n v="95"/>
    <n v="2"/>
  </r>
  <r>
    <s v="QHSE-2026-192"/>
    <s v="2026-02-24"/>
    <x v="1"/>
    <x v="0"/>
    <x v="4"/>
    <x v="4"/>
    <n v="3"/>
    <s v="Non-respect des consignes de sécurité / EPI"/>
    <n v="0"/>
    <n v="757319"/>
    <x v="3"/>
    <s v="Maintenance"/>
    <n v="87"/>
    <n v="2"/>
  </r>
  <r>
    <s v="QHSE-2026-193"/>
    <s v="2026-02-24"/>
    <x v="1"/>
    <x v="1"/>
    <x v="4"/>
    <x v="4"/>
    <n v="2"/>
    <s v="Défaut de maintenance préventive"/>
    <n v="0"/>
    <n v="76338"/>
    <x v="3"/>
    <s v="Ressources Humaines"/>
    <n v="94"/>
    <n v="2"/>
  </r>
  <r>
    <s v="QHSE-2026-194"/>
    <s v="2026-02-24"/>
    <x v="1"/>
    <x v="2"/>
    <x v="5"/>
    <x v="1"/>
    <n v="1"/>
    <s v="Défaillance technique / Matériel usé"/>
    <n v="0"/>
    <n v="19367"/>
    <x v="0"/>
    <s v="Production"/>
    <n v="97"/>
    <n v="2"/>
  </r>
  <r>
    <s v="QHSE-2026-195"/>
    <s v="2026-02-24"/>
    <x v="1"/>
    <x v="1"/>
    <x v="0"/>
    <x v="0"/>
    <n v="2"/>
    <s v="Organisation du travail / Charge"/>
    <n v="6"/>
    <n v="207350"/>
    <x v="3"/>
    <s v="Ressources Humaines"/>
    <n v="73"/>
    <n v="2"/>
  </r>
  <r>
    <s v="QHSE-2026-196"/>
    <s v="2026-02-25"/>
    <x v="1"/>
    <x v="2"/>
    <x v="0"/>
    <x v="1"/>
    <n v="1"/>
    <s v="Organisation du travail / Charge"/>
    <n v="0"/>
    <n v="48830"/>
    <x v="0"/>
    <s v="Maintenance"/>
    <n v="65"/>
    <n v="2"/>
  </r>
  <r>
    <s v="QHSE-2026-197"/>
    <s v="2026-02-25"/>
    <x v="1"/>
    <x v="4"/>
    <x v="0"/>
    <x v="2"/>
    <n v="2"/>
    <s v="Environnement de travail (Sol glissant, éclairage)"/>
    <n v="0"/>
    <n v="102535"/>
    <x v="1"/>
    <s v="Service QHSE"/>
    <n v="99"/>
    <n v="2"/>
  </r>
  <r>
    <s v="QHSE-2026-198"/>
    <s v="2026-02-27"/>
    <x v="1"/>
    <x v="2"/>
    <x v="0"/>
    <x v="3"/>
    <n v="2"/>
    <s v="Organisation du travail / Charge"/>
    <n v="0"/>
    <n v="104313"/>
    <x v="1"/>
    <s v="Maintenance"/>
    <n v="75"/>
    <n v="2"/>
  </r>
  <r>
    <s v="QHSE-2026-199"/>
    <s v="2026-02-27"/>
    <x v="1"/>
    <x v="2"/>
    <x v="0"/>
    <x v="2"/>
    <n v="1"/>
    <s v="Environnement de travail (Sol glissant, éclairage)"/>
    <n v="0"/>
    <n v="28915"/>
    <x v="1"/>
    <s v="Ressources Humaines"/>
    <n v="98"/>
    <n v="2"/>
  </r>
  <r>
    <s v="QHSE-2026-200"/>
    <s v="2026-02-28"/>
    <x v="1"/>
    <x v="4"/>
    <x v="5"/>
    <x v="2"/>
    <n v="1"/>
    <s v="Environnement de travail (Sol glissant, éclairage)"/>
    <n v="0"/>
    <n v="49353"/>
    <x v="1"/>
    <s v="Production"/>
    <n v="80"/>
    <n v="2"/>
  </r>
  <r>
    <s v="QHSE-2026-201"/>
    <s v="2026-02-28"/>
    <x v="1"/>
    <x v="2"/>
    <x v="2"/>
    <x v="5"/>
    <n v="1"/>
    <s v="Environnement de travail (Sol glissant, éclairage)"/>
    <n v="0"/>
    <n v="20758"/>
    <x v="2"/>
    <s v="Production"/>
    <n v="73"/>
    <n v="2"/>
  </r>
  <r>
    <s v="QHSE-2026-202"/>
    <s v="2026-03-01"/>
    <x v="2"/>
    <x v="0"/>
    <x v="4"/>
    <x v="1"/>
    <n v="1"/>
    <s v="Défaut de maintenance préventive"/>
    <n v="0"/>
    <n v="26278"/>
    <x v="1"/>
    <s v="Ressources Humaines"/>
    <n v="96"/>
    <n v="3"/>
  </r>
  <r>
    <s v="QHSE-2026-203"/>
    <s v="2026-03-01"/>
    <x v="2"/>
    <x v="0"/>
    <x v="0"/>
    <x v="5"/>
    <n v="2"/>
    <s v="Défaut de maintenance préventive"/>
    <n v="0"/>
    <n v="228296"/>
    <x v="2"/>
    <s v="Production"/>
    <n v="79"/>
    <n v="3"/>
  </r>
  <r>
    <s v="QHSE-2026-204"/>
    <s v="2026-03-01"/>
    <x v="2"/>
    <x v="1"/>
    <x v="2"/>
    <x v="1"/>
    <n v="2"/>
    <s v="Erreur humaine / Inattention"/>
    <n v="0"/>
    <n v="50584"/>
    <x v="0"/>
    <s v="Logistique"/>
    <n v="76"/>
    <n v="3"/>
  </r>
  <r>
    <s v="QHSE-2026-205"/>
    <s v="2026-03-02"/>
    <x v="2"/>
    <x v="1"/>
    <x v="2"/>
    <x v="1"/>
    <n v="1"/>
    <s v="Manque de formation / Sensibilisation"/>
    <n v="0"/>
    <n v="11590"/>
    <x v="1"/>
    <s v="Service QHSE"/>
    <n v="97"/>
    <n v="3"/>
  </r>
  <r>
    <s v="QHSE-2026-206"/>
    <s v="2026-03-02"/>
    <x v="2"/>
    <x v="1"/>
    <x v="4"/>
    <x v="1"/>
    <n v="1"/>
    <s v="Environnement de travail (Sol glissant, éclairage)"/>
    <n v="0"/>
    <n v="34162"/>
    <x v="3"/>
    <s v="Service QHSE"/>
    <n v="78"/>
    <n v="3"/>
  </r>
  <r>
    <s v="QHSE-2026-207"/>
    <s v="2026-03-03"/>
    <x v="2"/>
    <x v="0"/>
    <x v="5"/>
    <x v="1"/>
    <n v="1"/>
    <s v="Environnement de travail (Sol glissant, éclairage)"/>
    <n v="0"/>
    <n v="46295"/>
    <x v="1"/>
    <s v="Service QHSE"/>
    <n v="72"/>
    <n v="3"/>
  </r>
  <r>
    <s v="QHSE-2026-208"/>
    <s v="2026-03-04"/>
    <x v="2"/>
    <x v="0"/>
    <x v="3"/>
    <x v="4"/>
    <n v="3"/>
    <s v="Manque de formation / Sensibilisation"/>
    <n v="0"/>
    <n v="429142"/>
    <x v="1"/>
    <s v="Production"/>
    <n v="72"/>
    <n v="3"/>
  </r>
  <r>
    <s v="QHSE-2026-209"/>
    <s v="2026-03-06"/>
    <x v="2"/>
    <x v="0"/>
    <x v="3"/>
    <x v="0"/>
    <n v="4"/>
    <s v="Non-respect des consignes de sécurité / EPI"/>
    <n v="1"/>
    <n v="2878567"/>
    <x v="0"/>
    <s v="Production"/>
    <n v="91"/>
    <n v="3"/>
  </r>
  <r>
    <s v="QHSE-2026-210"/>
    <s v="2026-03-07"/>
    <x v="2"/>
    <x v="2"/>
    <x v="2"/>
    <x v="4"/>
    <n v="3"/>
    <s v="Environnement de travail (Sol glissant, éclairage)"/>
    <n v="0"/>
    <n v="587848"/>
    <x v="1"/>
    <s v="Maintenance"/>
    <n v="76"/>
    <n v="3"/>
  </r>
  <r>
    <s v="QHSE-2026-211"/>
    <s v="2026-03-07"/>
    <x v="2"/>
    <x v="2"/>
    <x v="1"/>
    <x v="0"/>
    <n v="4"/>
    <s v="Erreur humaine / Inattention"/>
    <n v="1"/>
    <n v="2891885"/>
    <x v="0"/>
    <s v="Maintenance"/>
    <n v="65"/>
    <n v="3"/>
  </r>
  <r>
    <s v="QHSE-2026-212"/>
    <s v="2026-03-07"/>
    <x v="2"/>
    <x v="2"/>
    <x v="1"/>
    <x v="5"/>
    <n v="2"/>
    <s v="Organisation du travail / Charge"/>
    <n v="0"/>
    <n v="174503"/>
    <x v="1"/>
    <s v="Service QHSE"/>
    <n v="75"/>
    <n v="3"/>
  </r>
  <r>
    <s v="QHSE-2026-213"/>
    <s v="2026-03-09"/>
    <x v="2"/>
    <x v="2"/>
    <x v="4"/>
    <x v="0"/>
    <n v="2"/>
    <s v="Organisation du travail / Charge"/>
    <n v="2"/>
    <n v="143948"/>
    <x v="1"/>
    <s v="Logistique"/>
    <n v="95"/>
    <n v="3"/>
  </r>
  <r>
    <s v="QHSE-2026-214"/>
    <s v="2026-03-09"/>
    <x v="2"/>
    <x v="4"/>
    <x v="3"/>
    <x v="5"/>
    <n v="2"/>
    <s v="Défaillance technique / Matériel usé"/>
    <n v="0"/>
    <n v="139493"/>
    <x v="3"/>
    <s v="Maintenance"/>
    <n v="81"/>
    <n v="3"/>
  </r>
  <r>
    <s v="QHSE-2026-215"/>
    <s v="2026-03-09"/>
    <x v="2"/>
    <x v="0"/>
    <x v="2"/>
    <x v="1"/>
    <n v="1"/>
    <s v="Défaillance technique / Matériel usé"/>
    <n v="0"/>
    <n v="28971"/>
    <x v="1"/>
    <s v="Maintenance"/>
    <n v="97"/>
    <n v="3"/>
  </r>
  <r>
    <s v="QHSE-2026-216"/>
    <s v="2026-03-09"/>
    <x v="2"/>
    <x v="2"/>
    <x v="5"/>
    <x v="2"/>
    <n v="1"/>
    <s v="Organisation du travail / Charge"/>
    <n v="0"/>
    <n v="33634"/>
    <x v="1"/>
    <s v="Production"/>
    <n v="96"/>
    <n v="3"/>
  </r>
  <r>
    <s v="QHSE-2026-217"/>
    <s v="2026-03-10"/>
    <x v="2"/>
    <x v="1"/>
    <x v="3"/>
    <x v="1"/>
    <n v="1"/>
    <s v="Organisation du travail / Charge"/>
    <n v="0"/>
    <n v="31480"/>
    <x v="1"/>
    <s v="Logistique"/>
    <n v="93"/>
    <n v="3"/>
  </r>
  <r>
    <s v="QHSE-2026-218"/>
    <s v="2026-03-10"/>
    <x v="2"/>
    <x v="2"/>
    <x v="2"/>
    <x v="1"/>
    <n v="2"/>
    <s v="Défaut de maintenance préventive"/>
    <n v="0"/>
    <n v="220827"/>
    <x v="2"/>
    <s v="Service QHSE"/>
    <n v="85"/>
    <n v="3"/>
  </r>
  <r>
    <s v="QHSE-2026-219"/>
    <s v="2026-03-10"/>
    <x v="2"/>
    <x v="1"/>
    <x v="2"/>
    <x v="2"/>
    <n v="1"/>
    <s v="Erreur humaine / Inattention"/>
    <n v="0"/>
    <n v="11979"/>
    <x v="1"/>
    <s v="Maintenance"/>
    <n v="85"/>
    <n v="3"/>
  </r>
  <r>
    <s v="QHSE-2026-220"/>
    <s v="2026-03-10"/>
    <x v="2"/>
    <x v="4"/>
    <x v="0"/>
    <x v="0"/>
    <n v="3"/>
    <s v="Manque de formation / Sensibilisation"/>
    <n v="6"/>
    <n v="874987"/>
    <x v="1"/>
    <s v="Logistique"/>
    <n v="87"/>
    <n v="3"/>
  </r>
  <r>
    <s v="QHSE-2026-221"/>
    <s v="2026-03-11"/>
    <x v="2"/>
    <x v="3"/>
    <x v="5"/>
    <x v="0"/>
    <n v="4"/>
    <s v="Défaillance technique / Matériel usé"/>
    <n v="14"/>
    <n v="4375698"/>
    <x v="1"/>
    <s v="Logistique"/>
    <n v="70"/>
    <n v="3"/>
  </r>
  <r>
    <s v="QHSE-2026-222"/>
    <s v="2026-03-12"/>
    <x v="2"/>
    <x v="0"/>
    <x v="0"/>
    <x v="5"/>
    <n v="1"/>
    <s v="Défaut de maintenance préventive"/>
    <n v="0"/>
    <n v="21396"/>
    <x v="1"/>
    <s v="Service QHSE"/>
    <n v="86"/>
    <n v="3"/>
  </r>
  <r>
    <s v="QHSE-2026-223"/>
    <s v="2026-03-12"/>
    <x v="2"/>
    <x v="3"/>
    <x v="4"/>
    <x v="4"/>
    <n v="2"/>
    <s v="Défaut de maintenance préventive"/>
    <n v="0"/>
    <n v="142570"/>
    <x v="2"/>
    <s v="Logistique"/>
    <n v="72"/>
    <n v="3"/>
  </r>
  <r>
    <s v="QHSE-2026-224"/>
    <s v="2026-03-14"/>
    <x v="2"/>
    <x v="2"/>
    <x v="0"/>
    <x v="5"/>
    <n v="2"/>
    <s v="Manque de formation / Sensibilisation"/>
    <n v="0"/>
    <n v="137707"/>
    <x v="0"/>
    <s v="Logistique"/>
    <n v="99"/>
    <n v="3"/>
  </r>
  <r>
    <s v="QHSE-2026-225"/>
    <s v="2026-03-16"/>
    <x v="2"/>
    <x v="0"/>
    <x v="0"/>
    <x v="4"/>
    <n v="2"/>
    <s v="Défaut de maintenance préventive"/>
    <n v="0"/>
    <n v="93701"/>
    <x v="1"/>
    <s v="Logistique"/>
    <n v="75"/>
    <n v="3"/>
  </r>
  <r>
    <s v="QHSE-2026-226"/>
    <s v="2026-03-18"/>
    <x v="2"/>
    <x v="2"/>
    <x v="3"/>
    <x v="1"/>
    <n v="2"/>
    <s v="Erreur humaine / Inattention"/>
    <n v="0"/>
    <n v="129359"/>
    <x v="0"/>
    <s v="Maintenance"/>
    <n v="88"/>
    <n v="3"/>
  </r>
  <r>
    <s v="QHSE-2026-227"/>
    <s v="2026-03-19"/>
    <x v="2"/>
    <x v="3"/>
    <x v="1"/>
    <x v="2"/>
    <n v="2"/>
    <s v="Organisation du travail / Charge"/>
    <n v="0"/>
    <n v="58877"/>
    <x v="1"/>
    <s v="Service QHSE"/>
    <n v="85"/>
    <n v="3"/>
  </r>
  <r>
    <s v="QHSE-2026-228"/>
    <s v="2026-03-19"/>
    <x v="2"/>
    <x v="2"/>
    <x v="2"/>
    <x v="1"/>
    <n v="1"/>
    <s v="Environnement de travail (Sol glissant, éclairage)"/>
    <n v="0"/>
    <n v="21112"/>
    <x v="3"/>
    <s v="Logistique"/>
    <n v="66"/>
    <n v="3"/>
  </r>
  <r>
    <s v="QHSE-2026-229"/>
    <s v="2026-03-19"/>
    <x v="2"/>
    <x v="0"/>
    <x v="5"/>
    <x v="1"/>
    <n v="1"/>
    <s v="Manque de formation / Sensibilisation"/>
    <n v="0"/>
    <n v="42667"/>
    <x v="3"/>
    <s v="Logistique"/>
    <n v="83"/>
    <n v="3"/>
  </r>
  <r>
    <s v="QHSE-2026-230"/>
    <s v="2026-03-19"/>
    <x v="2"/>
    <x v="1"/>
    <x v="0"/>
    <x v="0"/>
    <n v="2"/>
    <s v="Organisation du travail / Charge"/>
    <n v="6"/>
    <n v="106912"/>
    <x v="1"/>
    <s v="Maintenance"/>
    <n v="92"/>
    <n v="3"/>
  </r>
  <r>
    <s v="QHSE-2026-231"/>
    <s v="2026-03-20"/>
    <x v="2"/>
    <x v="0"/>
    <x v="5"/>
    <x v="4"/>
    <n v="2"/>
    <s v="Organisation du travail / Charge"/>
    <n v="0"/>
    <n v="213641"/>
    <x v="2"/>
    <s v="Service QHSE"/>
    <n v="81"/>
    <n v="3"/>
  </r>
  <r>
    <s v="QHSE-2026-232"/>
    <s v="2026-03-21"/>
    <x v="2"/>
    <x v="0"/>
    <x v="1"/>
    <x v="5"/>
    <n v="1"/>
    <s v="Non-respect des consignes de sécurité / EPI"/>
    <n v="0"/>
    <n v="31263"/>
    <x v="0"/>
    <s v="Production"/>
    <n v="70"/>
    <n v="3"/>
  </r>
  <r>
    <s v="QHSE-2026-233"/>
    <s v="2026-03-21"/>
    <x v="2"/>
    <x v="0"/>
    <x v="1"/>
    <x v="2"/>
    <n v="1"/>
    <s v="Manque de formation / Sensibilisation"/>
    <n v="0"/>
    <n v="45194"/>
    <x v="1"/>
    <s v="Maintenance"/>
    <n v="83"/>
    <n v="3"/>
  </r>
  <r>
    <s v="QHSE-2026-234"/>
    <s v="2026-03-21"/>
    <x v="2"/>
    <x v="0"/>
    <x v="0"/>
    <x v="4"/>
    <n v="3"/>
    <s v="Défaut de maintenance préventive"/>
    <n v="0"/>
    <n v="681084"/>
    <x v="1"/>
    <s v="Service QHSE"/>
    <n v="92"/>
    <n v="3"/>
  </r>
  <r>
    <s v="QHSE-2026-235"/>
    <s v="2026-03-21"/>
    <x v="2"/>
    <x v="0"/>
    <x v="4"/>
    <x v="5"/>
    <n v="2"/>
    <s v="Environnement de travail (Sol glissant, éclairage)"/>
    <n v="0"/>
    <n v="55933"/>
    <x v="1"/>
    <s v="Logistique"/>
    <n v="66"/>
    <n v="3"/>
  </r>
  <r>
    <s v="QHSE-2026-236"/>
    <s v="2026-03-22"/>
    <x v="2"/>
    <x v="0"/>
    <x v="0"/>
    <x v="0"/>
    <n v="3"/>
    <s v="Manque de formation / Sensibilisation"/>
    <n v="2"/>
    <n v="756565"/>
    <x v="0"/>
    <s v="Service QHSE"/>
    <n v="68"/>
    <n v="3"/>
  </r>
  <r>
    <s v="QHSE-2026-237"/>
    <s v="2026-03-23"/>
    <x v="2"/>
    <x v="1"/>
    <x v="3"/>
    <x v="1"/>
    <n v="1"/>
    <s v="Défaut de maintenance préventive"/>
    <n v="0"/>
    <n v="11794"/>
    <x v="3"/>
    <s v="Service QHSE"/>
    <n v="86"/>
    <n v="3"/>
  </r>
  <r>
    <s v="QHSE-2026-238"/>
    <s v="2026-03-24"/>
    <x v="2"/>
    <x v="0"/>
    <x v="2"/>
    <x v="0"/>
    <n v="3"/>
    <s v="Organisation du travail / Charge"/>
    <n v="1"/>
    <n v="587947"/>
    <x v="0"/>
    <s v="Service QHSE"/>
    <n v="90"/>
    <n v="3"/>
  </r>
  <r>
    <s v="QHSE-2026-239"/>
    <s v="2026-03-25"/>
    <x v="2"/>
    <x v="0"/>
    <x v="4"/>
    <x v="3"/>
    <n v="2"/>
    <s v="Environnement de travail (Sol glissant, éclairage)"/>
    <n v="0"/>
    <n v="235885"/>
    <x v="2"/>
    <s v="Production"/>
    <n v="77"/>
    <n v="3"/>
  </r>
  <r>
    <s v="QHSE-2026-240"/>
    <s v="2026-03-25"/>
    <x v="2"/>
    <x v="4"/>
    <x v="0"/>
    <x v="1"/>
    <n v="2"/>
    <s v="Défaut de maintenance préventive"/>
    <n v="0"/>
    <n v="83040"/>
    <x v="0"/>
    <s v="Service QHSE"/>
    <n v="96"/>
    <n v="3"/>
  </r>
  <r>
    <s v="QHSE-2026-241"/>
    <s v="2026-03-28"/>
    <x v="2"/>
    <x v="2"/>
    <x v="5"/>
    <x v="3"/>
    <n v="3"/>
    <s v="Erreur humaine / Inattention"/>
    <n v="0"/>
    <n v="542404"/>
    <x v="2"/>
    <s v="Production"/>
    <n v="81"/>
    <n v="3"/>
  </r>
  <r>
    <s v="QHSE-2026-242"/>
    <s v="2026-03-29"/>
    <x v="2"/>
    <x v="1"/>
    <x v="4"/>
    <x v="2"/>
    <n v="1"/>
    <s v="Défaut de maintenance préventive"/>
    <n v="0"/>
    <n v="39194"/>
    <x v="0"/>
    <s v="Logistique"/>
    <n v="83"/>
    <n v="3"/>
  </r>
  <r>
    <s v="QHSE-2026-243"/>
    <s v="2026-03-29"/>
    <x v="2"/>
    <x v="0"/>
    <x v="4"/>
    <x v="4"/>
    <n v="3"/>
    <s v="Non-respect des consignes de sécurité / EPI"/>
    <n v="0"/>
    <n v="911693"/>
    <x v="1"/>
    <s v="Production"/>
    <n v="99"/>
    <n v="3"/>
  </r>
  <r>
    <s v="QHSE-2026-244"/>
    <s v="2026-03-29"/>
    <x v="2"/>
    <x v="0"/>
    <x v="0"/>
    <x v="2"/>
    <n v="2"/>
    <s v="Organisation du travail / Charge"/>
    <n v="0"/>
    <n v="184188"/>
    <x v="1"/>
    <s v="Logistique"/>
    <n v="92"/>
    <n v="3"/>
  </r>
  <r>
    <s v="QHSE-2026-245"/>
    <s v="2026-03-30"/>
    <x v="2"/>
    <x v="0"/>
    <x v="4"/>
    <x v="1"/>
    <n v="2"/>
    <s v="Défaut de maintenance préventive"/>
    <n v="0"/>
    <n v="101634"/>
    <x v="2"/>
    <s v="Logistique"/>
    <n v="65"/>
    <n v="3"/>
  </r>
  <r>
    <s v="QHSE-2026-246"/>
    <s v="2026-04-02"/>
    <x v="3"/>
    <x v="0"/>
    <x v="5"/>
    <x v="5"/>
    <n v="1"/>
    <s v="Défaillance technique / Matériel usé"/>
    <n v="0"/>
    <n v="36984"/>
    <x v="1"/>
    <s v="Production"/>
    <n v="82"/>
    <n v="4"/>
  </r>
  <r>
    <s v="QHSE-2026-247"/>
    <s v="2026-04-03"/>
    <x v="3"/>
    <x v="0"/>
    <x v="1"/>
    <x v="0"/>
    <n v="2"/>
    <s v="Défaillance technique / Matériel usé"/>
    <n v="10"/>
    <n v="109345"/>
    <x v="2"/>
    <s v="Maintenance"/>
    <n v="97"/>
    <n v="4"/>
  </r>
  <r>
    <s v="QHSE-2026-248"/>
    <s v="2026-04-04"/>
    <x v="3"/>
    <x v="0"/>
    <x v="4"/>
    <x v="3"/>
    <n v="3"/>
    <s v="Non-respect des consignes de sécurité / EPI"/>
    <n v="0"/>
    <n v="788821"/>
    <x v="1"/>
    <s v="Ressources Humaines"/>
    <n v="76"/>
    <n v="4"/>
  </r>
  <r>
    <s v="QHSE-2026-249"/>
    <s v="2026-04-05"/>
    <x v="3"/>
    <x v="0"/>
    <x v="1"/>
    <x v="3"/>
    <n v="1"/>
    <s v="Erreur humaine / Inattention"/>
    <n v="0"/>
    <n v="48161"/>
    <x v="1"/>
    <s v="Service QHSE"/>
    <n v="72"/>
    <n v="4"/>
  </r>
  <r>
    <s v="QHSE-2026-250"/>
    <s v="2026-04-05"/>
    <x v="3"/>
    <x v="0"/>
    <x v="5"/>
    <x v="1"/>
    <n v="2"/>
    <s v="Organisation du travail / Charge"/>
    <n v="0"/>
    <n v="194278"/>
    <x v="2"/>
    <s v="Ressources Humaines"/>
    <n v="88"/>
    <n v="4"/>
  </r>
  <r>
    <s v="QHSE-2026-251"/>
    <s v="2026-04-05"/>
    <x v="3"/>
    <x v="2"/>
    <x v="0"/>
    <x v="3"/>
    <n v="1"/>
    <s v="Manque de formation / Sensibilisation"/>
    <n v="0"/>
    <n v="44515"/>
    <x v="1"/>
    <s v="Service QHSE"/>
    <n v="80"/>
    <n v="4"/>
  </r>
  <r>
    <s v="QHSE-2026-252"/>
    <s v="2026-04-06"/>
    <x v="3"/>
    <x v="0"/>
    <x v="2"/>
    <x v="1"/>
    <n v="1"/>
    <s v="Non-respect des consignes de sécurité / EPI"/>
    <n v="0"/>
    <n v="10084"/>
    <x v="1"/>
    <s v="Service QHSE"/>
    <n v="68"/>
    <n v="4"/>
  </r>
  <r>
    <s v="QHSE-2026-253"/>
    <s v="2026-04-06"/>
    <x v="3"/>
    <x v="2"/>
    <x v="4"/>
    <x v="2"/>
    <n v="2"/>
    <s v="Erreur humaine / Inattention"/>
    <n v="0"/>
    <n v="193514"/>
    <x v="1"/>
    <s v="Logistique"/>
    <n v="91"/>
    <n v="4"/>
  </r>
  <r>
    <s v="QHSE-2026-254"/>
    <s v="2026-04-06"/>
    <x v="3"/>
    <x v="2"/>
    <x v="2"/>
    <x v="0"/>
    <n v="2"/>
    <s v="Manque de formation / Sensibilisation"/>
    <n v="5"/>
    <n v="215917"/>
    <x v="2"/>
    <s v="Service QHSE"/>
    <n v="73"/>
    <n v="4"/>
  </r>
  <r>
    <s v="QHSE-2026-255"/>
    <s v="2026-04-07"/>
    <x v="3"/>
    <x v="1"/>
    <x v="5"/>
    <x v="4"/>
    <n v="2"/>
    <s v="Défaillance technique / Matériel usé"/>
    <n v="0"/>
    <n v="58111"/>
    <x v="1"/>
    <s v="Service QHSE"/>
    <n v="80"/>
    <n v="4"/>
  </r>
  <r>
    <s v="QHSE-2026-256"/>
    <s v="2026-04-07"/>
    <x v="3"/>
    <x v="0"/>
    <x v="4"/>
    <x v="5"/>
    <n v="2"/>
    <s v="Défaillance technique / Matériel usé"/>
    <n v="0"/>
    <n v="224319"/>
    <x v="2"/>
    <s v="Production"/>
    <n v="76"/>
    <n v="4"/>
  </r>
  <r>
    <s v="QHSE-2026-257"/>
    <s v="2026-04-08"/>
    <x v="3"/>
    <x v="1"/>
    <x v="1"/>
    <x v="4"/>
    <n v="2"/>
    <s v="Manque de formation / Sensibilisation"/>
    <n v="0"/>
    <n v="101338"/>
    <x v="1"/>
    <s v="Ressources Humaines"/>
    <n v="95"/>
    <n v="4"/>
  </r>
  <r>
    <s v="QHSE-2026-258"/>
    <s v="2026-04-08"/>
    <x v="3"/>
    <x v="1"/>
    <x v="3"/>
    <x v="2"/>
    <n v="1"/>
    <s v="Non-respect des consignes de sécurité / EPI"/>
    <n v="0"/>
    <n v="36611"/>
    <x v="3"/>
    <s v="Production"/>
    <n v="88"/>
    <n v="4"/>
  </r>
  <r>
    <s v="QHSE-2026-259"/>
    <s v="2026-04-08"/>
    <x v="3"/>
    <x v="0"/>
    <x v="2"/>
    <x v="5"/>
    <n v="2"/>
    <s v="Défaillance technique / Matériel usé"/>
    <n v="0"/>
    <n v="210070"/>
    <x v="3"/>
    <s v="Service QHSE"/>
    <n v="78"/>
    <n v="4"/>
  </r>
  <r>
    <s v="QHSE-2026-260"/>
    <s v="2026-04-08"/>
    <x v="3"/>
    <x v="4"/>
    <x v="4"/>
    <x v="3"/>
    <n v="2"/>
    <s v="Organisation du travail / Charge"/>
    <n v="0"/>
    <n v="182532"/>
    <x v="1"/>
    <s v="Logistique"/>
    <n v="89"/>
    <n v="4"/>
  </r>
  <r>
    <s v="QHSE-2026-261"/>
    <s v="2026-04-09"/>
    <x v="3"/>
    <x v="3"/>
    <x v="2"/>
    <x v="1"/>
    <n v="2"/>
    <s v="Environnement de travail (Sol glissant, éclairage)"/>
    <n v="0"/>
    <n v="68456"/>
    <x v="1"/>
    <s v="Production"/>
    <n v="98"/>
    <n v="4"/>
  </r>
  <r>
    <s v="QHSE-2026-262"/>
    <s v="2026-04-09"/>
    <x v="3"/>
    <x v="0"/>
    <x v="4"/>
    <x v="2"/>
    <n v="1"/>
    <s v="Défaut de maintenance préventive"/>
    <n v="0"/>
    <n v="33852"/>
    <x v="1"/>
    <s v="Production"/>
    <n v="67"/>
    <n v="4"/>
  </r>
  <r>
    <s v="QHSE-2026-263"/>
    <s v="2026-04-10"/>
    <x v="3"/>
    <x v="0"/>
    <x v="0"/>
    <x v="2"/>
    <n v="2"/>
    <s v="Manque de formation / Sensibilisation"/>
    <n v="0"/>
    <n v="159916"/>
    <x v="0"/>
    <s v="Maintenance"/>
    <n v="88"/>
    <n v="4"/>
  </r>
  <r>
    <s v="QHSE-2026-264"/>
    <s v="2026-04-10"/>
    <x v="3"/>
    <x v="4"/>
    <x v="1"/>
    <x v="0"/>
    <n v="4"/>
    <s v="Manque de formation / Sensibilisation"/>
    <n v="5"/>
    <n v="4601285"/>
    <x v="1"/>
    <s v="Service QHSE"/>
    <n v="73"/>
    <n v="4"/>
  </r>
  <r>
    <s v="QHSE-2026-265"/>
    <s v="2026-04-10"/>
    <x v="3"/>
    <x v="1"/>
    <x v="2"/>
    <x v="4"/>
    <n v="3"/>
    <s v="Défaillance technique / Matériel usé"/>
    <n v="0"/>
    <n v="553179"/>
    <x v="1"/>
    <s v="Logistique"/>
    <n v="90"/>
    <n v="4"/>
  </r>
  <r>
    <s v="QHSE-2026-266"/>
    <s v="2026-04-12"/>
    <x v="3"/>
    <x v="0"/>
    <x v="3"/>
    <x v="2"/>
    <n v="1"/>
    <s v="Non-respect des consignes de sécurité / EPI"/>
    <n v="0"/>
    <n v="22843"/>
    <x v="1"/>
    <s v="Production"/>
    <n v="84"/>
    <n v="4"/>
  </r>
  <r>
    <s v="QHSE-2026-267"/>
    <s v="2026-04-13"/>
    <x v="3"/>
    <x v="0"/>
    <x v="3"/>
    <x v="2"/>
    <n v="2"/>
    <s v="Organisation du travail / Charge"/>
    <n v="0"/>
    <n v="199970"/>
    <x v="1"/>
    <s v="Production"/>
    <n v="74"/>
    <n v="4"/>
  </r>
  <r>
    <s v="QHSE-2026-268"/>
    <s v="2026-04-14"/>
    <x v="3"/>
    <x v="2"/>
    <x v="5"/>
    <x v="3"/>
    <n v="2"/>
    <s v="Non-respect des consignes de sécurité / EPI"/>
    <n v="0"/>
    <n v="132535"/>
    <x v="1"/>
    <s v="Logistique"/>
    <n v="83"/>
    <n v="4"/>
  </r>
  <r>
    <s v="QHSE-2026-269"/>
    <s v="2026-04-16"/>
    <x v="3"/>
    <x v="2"/>
    <x v="4"/>
    <x v="3"/>
    <n v="2"/>
    <s v="Erreur humaine / Inattention"/>
    <n v="0"/>
    <n v="179219"/>
    <x v="0"/>
    <s v="Service QHSE"/>
    <n v="67"/>
    <n v="4"/>
  </r>
  <r>
    <s v="QHSE-2026-270"/>
    <s v="2026-04-16"/>
    <x v="3"/>
    <x v="1"/>
    <x v="2"/>
    <x v="5"/>
    <n v="1"/>
    <s v="Erreur humaine / Inattention"/>
    <n v="0"/>
    <n v="35858"/>
    <x v="3"/>
    <s v="Maintenance"/>
    <n v="88"/>
    <n v="4"/>
  </r>
  <r>
    <s v="QHSE-2026-271"/>
    <s v="2026-04-16"/>
    <x v="3"/>
    <x v="2"/>
    <x v="5"/>
    <x v="1"/>
    <n v="2"/>
    <s v="Environnement de travail (Sol glissant, éclairage)"/>
    <n v="0"/>
    <n v="227607"/>
    <x v="1"/>
    <s v="Production"/>
    <n v="69"/>
    <n v="4"/>
  </r>
  <r>
    <s v="QHSE-2026-272"/>
    <s v="2026-04-17"/>
    <x v="3"/>
    <x v="2"/>
    <x v="2"/>
    <x v="1"/>
    <n v="2"/>
    <s v="Défaillance technique / Matériel usé"/>
    <n v="0"/>
    <n v="169738"/>
    <x v="1"/>
    <s v="Maintenance"/>
    <n v="67"/>
    <n v="4"/>
  </r>
  <r>
    <s v="QHSE-2026-273"/>
    <s v="2026-04-19"/>
    <x v="3"/>
    <x v="1"/>
    <x v="4"/>
    <x v="1"/>
    <n v="1"/>
    <s v="Défaillance technique / Matériel usé"/>
    <n v="0"/>
    <n v="30086"/>
    <x v="1"/>
    <s v="Ressources Humaines"/>
    <n v="91"/>
    <n v="4"/>
  </r>
  <r>
    <s v="QHSE-2026-274"/>
    <s v="2026-04-19"/>
    <x v="3"/>
    <x v="0"/>
    <x v="3"/>
    <x v="1"/>
    <n v="2"/>
    <s v="Défaillance technique / Matériel usé"/>
    <n v="0"/>
    <n v="77774"/>
    <x v="2"/>
    <s v="Service QHSE"/>
    <n v="80"/>
    <n v="4"/>
  </r>
  <r>
    <s v="QHSE-2026-275"/>
    <s v="2026-04-20"/>
    <x v="3"/>
    <x v="0"/>
    <x v="0"/>
    <x v="0"/>
    <n v="4"/>
    <s v="Environnement de travail (Sol glissant, éclairage)"/>
    <n v="2"/>
    <n v="1462950"/>
    <x v="2"/>
    <s v="Ressources Humaines"/>
    <n v="79"/>
    <n v="4"/>
  </r>
  <r>
    <s v="QHSE-2026-276"/>
    <s v="2026-04-21"/>
    <x v="3"/>
    <x v="1"/>
    <x v="3"/>
    <x v="1"/>
    <n v="2"/>
    <s v="Erreur humaine / Inattention"/>
    <n v="0"/>
    <n v="80864"/>
    <x v="2"/>
    <s v="Ressources Humaines"/>
    <n v="99"/>
    <n v="4"/>
  </r>
  <r>
    <s v="QHSE-2026-277"/>
    <s v="2026-04-22"/>
    <x v="3"/>
    <x v="4"/>
    <x v="5"/>
    <x v="5"/>
    <n v="2"/>
    <s v="Non-respect des consignes de sécurité / EPI"/>
    <n v="0"/>
    <n v="84369"/>
    <x v="3"/>
    <s v="Ressources Humaines"/>
    <n v="76"/>
    <n v="4"/>
  </r>
  <r>
    <s v="QHSE-2026-278"/>
    <s v="2026-04-24"/>
    <x v="3"/>
    <x v="2"/>
    <x v="1"/>
    <x v="3"/>
    <n v="2"/>
    <s v="Environnement de travail (Sol glissant, éclairage)"/>
    <n v="0"/>
    <n v="177575"/>
    <x v="1"/>
    <s v="Service QHSE"/>
    <n v="90"/>
    <n v="4"/>
  </r>
  <r>
    <s v="QHSE-2026-279"/>
    <s v="2026-04-25"/>
    <x v="3"/>
    <x v="2"/>
    <x v="0"/>
    <x v="1"/>
    <n v="1"/>
    <s v="Environnement de travail (Sol glissant, éclairage)"/>
    <n v="0"/>
    <n v="39639"/>
    <x v="2"/>
    <s v="Service QHSE"/>
    <n v="98"/>
    <n v="4"/>
  </r>
  <r>
    <s v="QHSE-2026-280"/>
    <s v="2026-04-26"/>
    <x v="3"/>
    <x v="0"/>
    <x v="5"/>
    <x v="4"/>
    <n v="3"/>
    <s v="Non-respect des consignes de sécurité / EPI"/>
    <n v="0"/>
    <n v="647493"/>
    <x v="0"/>
    <s v="Logistique"/>
    <n v="87"/>
    <n v="4"/>
  </r>
  <r>
    <s v="QHSE-2026-281"/>
    <s v="2026-04-26"/>
    <x v="3"/>
    <x v="2"/>
    <x v="4"/>
    <x v="3"/>
    <n v="2"/>
    <s v="Défaillance technique / Matériel usé"/>
    <n v="0"/>
    <n v="215803"/>
    <x v="1"/>
    <s v="Maintenance"/>
    <n v="95"/>
    <n v="4"/>
  </r>
  <r>
    <s v="QHSE-2026-282"/>
    <s v="2026-04-26"/>
    <x v="3"/>
    <x v="2"/>
    <x v="0"/>
    <x v="0"/>
    <n v="3"/>
    <s v="Organisation du travail / Charge"/>
    <n v="6"/>
    <n v="993447"/>
    <x v="3"/>
    <s v="Maintenance"/>
    <n v="84"/>
    <n v="4"/>
  </r>
  <r>
    <s v="QHSE-2026-283"/>
    <s v="2026-05-01"/>
    <x v="4"/>
    <x v="0"/>
    <x v="5"/>
    <x v="3"/>
    <n v="1"/>
    <s v="Non-respect des consignes de sécurité / EPI"/>
    <n v="0"/>
    <n v="42800"/>
    <x v="1"/>
    <s v="Logistique"/>
    <n v="76"/>
    <n v="5"/>
  </r>
  <r>
    <s v="QHSE-2026-284"/>
    <s v="2026-05-02"/>
    <x v="4"/>
    <x v="0"/>
    <x v="4"/>
    <x v="0"/>
    <n v="4"/>
    <s v="Erreur humaine / Inattention"/>
    <n v="9"/>
    <n v="3779529"/>
    <x v="0"/>
    <s v="Logistique"/>
    <n v="87"/>
    <n v="5"/>
  </r>
  <r>
    <s v="QHSE-2026-285"/>
    <s v="2026-05-03"/>
    <x v="4"/>
    <x v="2"/>
    <x v="3"/>
    <x v="0"/>
    <n v="3"/>
    <s v="Manque de formation / Sensibilisation"/>
    <n v="2"/>
    <n v="649369"/>
    <x v="1"/>
    <s v="Ressources Humaines"/>
    <n v="68"/>
    <n v="5"/>
  </r>
  <r>
    <s v="QHSE-2026-286"/>
    <s v="2026-05-03"/>
    <x v="4"/>
    <x v="0"/>
    <x v="1"/>
    <x v="0"/>
    <n v="4"/>
    <s v="Manque de formation / Sensibilisation"/>
    <n v="10"/>
    <n v="2795412"/>
    <x v="1"/>
    <s v="Logistique"/>
    <n v="87"/>
    <n v="5"/>
  </r>
  <r>
    <s v="QHSE-2026-287"/>
    <s v="2026-05-03"/>
    <x v="4"/>
    <x v="0"/>
    <x v="4"/>
    <x v="5"/>
    <n v="2"/>
    <s v="Défaut de maintenance préventive"/>
    <n v="0"/>
    <n v="66878"/>
    <x v="0"/>
    <s v="Production"/>
    <n v="65"/>
    <n v="5"/>
  </r>
  <r>
    <s v="QHSE-2026-288"/>
    <s v="2026-05-04"/>
    <x v="4"/>
    <x v="0"/>
    <x v="2"/>
    <x v="0"/>
    <n v="3"/>
    <s v="Défaut de maintenance préventive"/>
    <n v="2"/>
    <n v="549526"/>
    <x v="1"/>
    <s v="Maintenance"/>
    <n v="89"/>
    <n v="5"/>
  </r>
  <r>
    <s v="QHSE-2026-289"/>
    <s v="2026-05-05"/>
    <x v="4"/>
    <x v="0"/>
    <x v="4"/>
    <x v="0"/>
    <n v="3"/>
    <s v="Environnement de travail (Sol glissant, éclairage)"/>
    <n v="3"/>
    <n v="932600"/>
    <x v="1"/>
    <s v="Logistique"/>
    <n v="66"/>
    <n v="5"/>
  </r>
  <r>
    <s v="QHSE-2026-290"/>
    <s v="2026-05-06"/>
    <x v="4"/>
    <x v="0"/>
    <x v="4"/>
    <x v="4"/>
    <n v="3"/>
    <s v="Manque de formation / Sensibilisation"/>
    <n v="0"/>
    <n v="856016"/>
    <x v="1"/>
    <s v="Production"/>
    <n v="94"/>
    <n v="5"/>
  </r>
  <r>
    <s v="QHSE-2026-291"/>
    <s v="2026-05-06"/>
    <x v="4"/>
    <x v="4"/>
    <x v="1"/>
    <x v="1"/>
    <n v="1"/>
    <s v="Organisation du travail / Charge"/>
    <n v="0"/>
    <n v="18642"/>
    <x v="2"/>
    <s v="Production"/>
    <n v="67"/>
    <n v="5"/>
  </r>
  <r>
    <s v="QHSE-2026-292"/>
    <s v="2026-05-06"/>
    <x v="4"/>
    <x v="2"/>
    <x v="2"/>
    <x v="2"/>
    <n v="1"/>
    <s v="Défaillance technique / Matériel usé"/>
    <n v="0"/>
    <n v="28664"/>
    <x v="1"/>
    <s v="Production"/>
    <n v="85"/>
    <n v="5"/>
  </r>
  <r>
    <s v="QHSE-2026-293"/>
    <s v="2026-05-06"/>
    <x v="4"/>
    <x v="1"/>
    <x v="5"/>
    <x v="1"/>
    <n v="1"/>
    <s v="Erreur humaine / Inattention"/>
    <n v="0"/>
    <n v="42668"/>
    <x v="1"/>
    <s v="Production"/>
    <n v="89"/>
    <n v="5"/>
  </r>
  <r>
    <s v="QHSE-2026-294"/>
    <s v="2026-05-08"/>
    <x v="4"/>
    <x v="1"/>
    <x v="5"/>
    <x v="0"/>
    <n v="4"/>
    <s v="Défaut de maintenance préventive"/>
    <n v="13"/>
    <n v="1269538"/>
    <x v="2"/>
    <s v="Ressources Humaines"/>
    <n v="84"/>
    <n v="5"/>
  </r>
  <r>
    <s v="QHSE-2026-295"/>
    <s v="2026-05-08"/>
    <x v="4"/>
    <x v="2"/>
    <x v="4"/>
    <x v="4"/>
    <n v="2"/>
    <s v="Organisation du travail / Charge"/>
    <n v="0"/>
    <n v="127478"/>
    <x v="2"/>
    <s v="Production"/>
    <n v="86"/>
    <n v="5"/>
  </r>
  <r>
    <s v="QHSE-2026-296"/>
    <s v="2026-05-08"/>
    <x v="4"/>
    <x v="0"/>
    <x v="2"/>
    <x v="3"/>
    <n v="1"/>
    <s v="Erreur humaine / Inattention"/>
    <n v="0"/>
    <n v="44073"/>
    <x v="1"/>
    <s v="Ressources Humaines"/>
    <n v="85"/>
    <n v="5"/>
  </r>
  <r>
    <s v="QHSE-2026-297"/>
    <s v="2026-05-10"/>
    <x v="4"/>
    <x v="2"/>
    <x v="2"/>
    <x v="4"/>
    <n v="2"/>
    <s v="Erreur humaine / Inattention"/>
    <n v="0"/>
    <n v="130779"/>
    <x v="0"/>
    <s v="Ressources Humaines"/>
    <n v="97"/>
    <n v="5"/>
  </r>
  <r>
    <s v="QHSE-2026-298"/>
    <s v="2026-05-10"/>
    <x v="4"/>
    <x v="2"/>
    <x v="1"/>
    <x v="0"/>
    <n v="3"/>
    <s v="Défaillance technique / Matériel usé"/>
    <n v="7"/>
    <n v="308210"/>
    <x v="2"/>
    <s v="Production"/>
    <n v="79"/>
    <n v="5"/>
  </r>
  <r>
    <s v="QHSE-2026-299"/>
    <s v="2026-05-11"/>
    <x v="4"/>
    <x v="1"/>
    <x v="3"/>
    <x v="4"/>
    <n v="3"/>
    <s v="Environnement de travail (Sol glissant, éclairage)"/>
    <n v="0"/>
    <n v="656900"/>
    <x v="2"/>
    <s v="Maintenance"/>
    <n v="79"/>
    <n v="5"/>
  </r>
  <r>
    <s v="QHSE-2026-300"/>
    <s v="2026-05-11"/>
    <x v="4"/>
    <x v="2"/>
    <x v="5"/>
    <x v="1"/>
    <n v="2"/>
    <s v="Manque de formation / Sensibilisation"/>
    <n v="0"/>
    <n v="222348"/>
    <x v="1"/>
    <s v="Production"/>
    <n v="89"/>
    <n v="5"/>
  </r>
  <r>
    <s v="QHSE-2026-301"/>
    <s v="2026-05-12"/>
    <x v="4"/>
    <x v="0"/>
    <x v="1"/>
    <x v="4"/>
    <n v="2"/>
    <s v="Défaillance technique / Matériel usé"/>
    <n v="0"/>
    <n v="168057"/>
    <x v="1"/>
    <s v="Production"/>
    <n v="85"/>
    <n v="5"/>
  </r>
  <r>
    <s v="QHSE-2026-302"/>
    <s v="2026-05-13"/>
    <x v="4"/>
    <x v="0"/>
    <x v="0"/>
    <x v="0"/>
    <n v="4"/>
    <s v="Organisation du travail / Charge"/>
    <n v="6"/>
    <n v="1905116"/>
    <x v="1"/>
    <s v="Production"/>
    <n v="88"/>
    <n v="5"/>
  </r>
  <r>
    <s v="QHSE-2026-303"/>
    <s v="2026-05-13"/>
    <x v="4"/>
    <x v="2"/>
    <x v="5"/>
    <x v="5"/>
    <n v="2"/>
    <s v="Environnement de travail (Sol glissant, éclairage)"/>
    <n v="0"/>
    <n v="126847"/>
    <x v="1"/>
    <s v="Maintenance"/>
    <n v="69"/>
    <n v="5"/>
  </r>
  <r>
    <s v="QHSE-2026-304"/>
    <s v="2026-05-13"/>
    <x v="4"/>
    <x v="1"/>
    <x v="1"/>
    <x v="1"/>
    <n v="2"/>
    <s v="Organisation du travail / Charge"/>
    <n v="0"/>
    <n v="140024"/>
    <x v="1"/>
    <s v="Service QHSE"/>
    <n v="70"/>
    <n v="5"/>
  </r>
  <r>
    <s v="QHSE-2026-305"/>
    <s v="2026-05-14"/>
    <x v="4"/>
    <x v="2"/>
    <x v="5"/>
    <x v="4"/>
    <n v="2"/>
    <s v="Environnement de travail (Sol glissant, éclairage)"/>
    <n v="0"/>
    <n v="165853"/>
    <x v="1"/>
    <s v="Service QHSE"/>
    <n v="87"/>
    <n v="5"/>
  </r>
  <r>
    <s v="QHSE-2026-306"/>
    <s v="2026-05-15"/>
    <x v="4"/>
    <x v="2"/>
    <x v="3"/>
    <x v="2"/>
    <n v="2"/>
    <s v="Défaut de maintenance préventive"/>
    <n v="0"/>
    <n v="201870"/>
    <x v="0"/>
    <s v="Ressources Humaines"/>
    <n v="68"/>
    <n v="5"/>
  </r>
  <r>
    <s v="QHSE-2026-307"/>
    <s v="2026-05-15"/>
    <x v="4"/>
    <x v="3"/>
    <x v="0"/>
    <x v="2"/>
    <n v="2"/>
    <s v="Organisation du travail / Charge"/>
    <n v="0"/>
    <n v="69774"/>
    <x v="1"/>
    <s v="Ressources Humaines"/>
    <n v="91"/>
    <n v="5"/>
  </r>
  <r>
    <s v="QHSE-2026-308"/>
    <s v="2026-05-17"/>
    <x v="4"/>
    <x v="1"/>
    <x v="3"/>
    <x v="4"/>
    <n v="3"/>
    <s v="Défaillance technique / Matériel usé"/>
    <n v="0"/>
    <n v="917239"/>
    <x v="1"/>
    <s v="Maintenance"/>
    <n v="82"/>
    <n v="5"/>
  </r>
  <r>
    <s v="QHSE-2026-309"/>
    <s v="2026-05-18"/>
    <x v="4"/>
    <x v="0"/>
    <x v="0"/>
    <x v="5"/>
    <n v="2"/>
    <s v="Environnement de travail (Sol glissant, éclairage)"/>
    <n v="0"/>
    <n v="52461"/>
    <x v="2"/>
    <s v="Logistique"/>
    <n v="85"/>
    <n v="5"/>
  </r>
  <r>
    <s v="QHSE-2026-310"/>
    <s v="2026-05-19"/>
    <x v="4"/>
    <x v="0"/>
    <x v="4"/>
    <x v="3"/>
    <n v="3"/>
    <s v="Environnement de travail (Sol glissant, éclairage)"/>
    <n v="0"/>
    <n v="527539"/>
    <x v="1"/>
    <s v="Service QHSE"/>
    <n v="92"/>
    <n v="5"/>
  </r>
  <r>
    <s v="QHSE-2026-311"/>
    <s v="2026-05-19"/>
    <x v="4"/>
    <x v="0"/>
    <x v="1"/>
    <x v="0"/>
    <n v="3"/>
    <s v="Erreur humaine / Inattention"/>
    <n v="12"/>
    <n v="270565"/>
    <x v="1"/>
    <s v="Ressources Humaines"/>
    <n v="99"/>
    <n v="5"/>
  </r>
  <r>
    <s v="QHSE-2026-312"/>
    <s v="2026-05-19"/>
    <x v="4"/>
    <x v="0"/>
    <x v="0"/>
    <x v="2"/>
    <n v="1"/>
    <s v="Erreur humaine / Inattention"/>
    <n v="0"/>
    <n v="25718"/>
    <x v="2"/>
    <s v="Service QHSE"/>
    <n v="86"/>
    <n v="5"/>
  </r>
  <r>
    <s v="QHSE-2026-313"/>
    <s v="2026-05-19"/>
    <x v="4"/>
    <x v="0"/>
    <x v="3"/>
    <x v="3"/>
    <n v="3"/>
    <s v="Non-respect des consignes de sécurité / EPI"/>
    <n v="0"/>
    <n v="644359"/>
    <x v="1"/>
    <s v="Maintenance"/>
    <n v="87"/>
    <n v="5"/>
  </r>
  <r>
    <s v="QHSE-2026-314"/>
    <s v="2026-05-21"/>
    <x v="4"/>
    <x v="0"/>
    <x v="5"/>
    <x v="4"/>
    <n v="3"/>
    <s v="Organisation du travail / Charge"/>
    <n v="0"/>
    <n v="633761"/>
    <x v="0"/>
    <s v="Maintenance"/>
    <n v="67"/>
    <n v="5"/>
  </r>
  <r>
    <s v="QHSE-2026-315"/>
    <s v="2026-05-21"/>
    <x v="4"/>
    <x v="0"/>
    <x v="0"/>
    <x v="3"/>
    <n v="3"/>
    <s v="Erreur humaine / Inattention"/>
    <n v="0"/>
    <n v="374221"/>
    <x v="0"/>
    <s v="Logistique"/>
    <n v="74"/>
    <n v="5"/>
  </r>
  <r>
    <s v="QHSE-2026-316"/>
    <s v="2026-05-21"/>
    <x v="4"/>
    <x v="0"/>
    <x v="1"/>
    <x v="1"/>
    <n v="2"/>
    <s v="Non-respect des consignes de sécurité / EPI"/>
    <n v="0"/>
    <n v="179148"/>
    <x v="1"/>
    <s v="Logistique"/>
    <n v="89"/>
    <n v="5"/>
  </r>
  <r>
    <s v="QHSE-2026-317"/>
    <s v="2026-05-21"/>
    <x v="4"/>
    <x v="4"/>
    <x v="0"/>
    <x v="1"/>
    <n v="2"/>
    <s v="Défaut de maintenance préventive"/>
    <n v="0"/>
    <n v="58955"/>
    <x v="2"/>
    <s v="Maintenance"/>
    <n v="72"/>
    <n v="5"/>
  </r>
  <r>
    <s v="QHSE-2026-318"/>
    <s v="2026-05-22"/>
    <x v="4"/>
    <x v="0"/>
    <x v="2"/>
    <x v="2"/>
    <n v="1"/>
    <s v="Défaut de maintenance préventive"/>
    <n v="0"/>
    <n v="40476"/>
    <x v="1"/>
    <s v="Ressources Humaines"/>
    <n v="75"/>
    <n v="5"/>
  </r>
  <r>
    <s v="QHSE-2026-319"/>
    <s v="2026-05-24"/>
    <x v="4"/>
    <x v="2"/>
    <x v="5"/>
    <x v="4"/>
    <n v="3"/>
    <s v="Erreur humaine / Inattention"/>
    <n v="0"/>
    <n v="959983"/>
    <x v="1"/>
    <s v="Service QHSE"/>
    <n v="69"/>
    <n v="5"/>
  </r>
  <r>
    <s v="QHSE-2026-320"/>
    <s v="2026-05-25"/>
    <x v="4"/>
    <x v="2"/>
    <x v="1"/>
    <x v="0"/>
    <n v="2"/>
    <s v="Organisation du travail / Charge"/>
    <n v="8"/>
    <n v="117953"/>
    <x v="1"/>
    <s v="Production"/>
    <n v="93"/>
    <n v="5"/>
  </r>
  <r>
    <s v="QHSE-2026-321"/>
    <s v="2026-05-25"/>
    <x v="4"/>
    <x v="3"/>
    <x v="1"/>
    <x v="5"/>
    <n v="1"/>
    <s v="Environnement de travail (Sol glissant, éclairage)"/>
    <n v="0"/>
    <n v="30689"/>
    <x v="1"/>
    <s v="Logistique"/>
    <n v="69"/>
    <n v="5"/>
  </r>
  <r>
    <s v="QHSE-2026-322"/>
    <s v="2026-05-25"/>
    <x v="4"/>
    <x v="0"/>
    <x v="4"/>
    <x v="1"/>
    <n v="2"/>
    <s v="Manque de formation / Sensibilisation"/>
    <n v="0"/>
    <n v="125782"/>
    <x v="3"/>
    <s v="Production"/>
    <n v="73"/>
    <n v="5"/>
  </r>
  <r>
    <s v="QHSE-2026-323"/>
    <s v="2026-05-26"/>
    <x v="4"/>
    <x v="2"/>
    <x v="3"/>
    <x v="4"/>
    <n v="2"/>
    <s v="Organisation du travail / Charge"/>
    <n v="0"/>
    <n v="51342"/>
    <x v="1"/>
    <s v="Ressources Humaines"/>
    <n v="66"/>
    <n v="5"/>
  </r>
  <r>
    <s v="QHSE-2026-324"/>
    <s v="2026-05-26"/>
    <x v="4"/>
    <x v="3"/>
    <x v="4"/>
    <x v="0"/>
    <n v="3"/>
    <s v="Défaillance technique / Matériel usé"/>
    <n v="8"/>
    <n v="539405"/>
    <x v="1"/>
    <s v="Logistique"/>
    <n v="65"/>
    <n v="5"/>
  </r>
  <r>
    <s v="QHSE-2026-325"/>
    <s v="2026-05-27"/>
    <x v="4"/>
    <x v="4"/>
    <x v="1"/>
    <x v="5"/>
    <n v="2"/>
    <s v="Défaut de maintenance préventive"/>
    <n v="0"/>
    <n v="208344"/>
    <x v="1"/>
    <s v="Production"/>
    <n v="94"/>
    <n v="5"/>
  </r>
  <r>
    <s v="QHSE-2026-326"/>
    <s v="2026-05-28"/>
    <x v="4"/>
    <x v="4"/>
    <x v="5"/>
    <x v="5"/>
    <n v="2"/>
    <s v="Erreur humaine / Inattention"/>
    <n v="0"/>
    <n v="169197"/>
    <x v="1"/>
    <s v="Ressources Humaines"/>
    <n v="75"/>
    <n v="5"/>
  </r>
  <r>
    <s v="QHSE-2026-327"/>
    <s v="2026-05-29"/>
    <x v="4"/>
    <x v="0"/>
    <x v="0"/>
    <x v="4"/>
    <n v="3"/>
    <s v="Erreur humaine / Inattention"/>
    <n v="0"/>
    <n v="325944"/>
    <x v="1"/>
    <s v="Service QHSE"/>
    <n v="92"/>
    <n v="5"/>
  </r>
  <r>
    <s v="QHSE-2026-328"/>
    <s v="2026-05-30"/>
    <x v="4"/>
    <x v="0"/>
    <x v="0"/>
    <x v="1"/>
    <n v="1"/>
    <s v="Environnement de travail (Sol glissant, éclairage)"/>
    <n v="0"/>
    <n v="43885"/>
    <x v="1"/>
    <s v="Ressources Humaines"/>
    <n v="76"/>
    <n v="5"/>
  </r>
  <r>
    <s v="QHSE-2026-329"/>
    <s v="2026-05-31"/>
    <x v="4"/>
    <x v="1"/>
    <x v="5"/>
    <x v="3"/>
    <n v="1"/>
    <s v="Défaillance technique / Matériel usé"/>
    <n v="0"/>
    <n v="31243"/>
    <x v="0"/>
    <s v="Logistique"/>
    <n v="90"/>
    <n v="5"/>
  </r>
  <r>
    <s v="QHSE-2026-330"/>
    <s v="2026-06-01"/>
    <x v="5"/>
    <x v="3"/>
    <x v="1"/>
    <x v="3"/>
    <n v="1"/>
    <s v="Environnement de travail (Sol glissant, éclairage)"/>
    <n v="0"/>
    <n v="43668"/>
    <x v="1"/>
    <s v="Maintenance"/>
    <n v="77"/>
    <n v="6"/>
  </r>
  <r>
    <s v="QHSE-2026-331"/>
    <s v="2026-06-03"/>
    <x v="5"/>
    <x v="2"/>
    <x v="0"/>
    <x v="5"/>
    <n v="2"/>
    <s v="Défaillance technique / Matériel usé"/>
    <n v="0"/>
    <n v="166044"/>
    <x v="1"/>
    <s v="Service QHSE"/>
    <n v="72"/>
    <n v="6"/>
  </r>
  <r>
    <s v="QHSE-2026-332"/>
    <s v="2026-06-03"/>
    <x v="5"/>
    <x v="2"/>
    <x v="0"/>
    <x v="3"/>
    <n v="2"/>
    <s v="Manque de formation / Sensibilisation"/>
    <n v="0"/>
    <n v="161937"/>
    <x v="1"/>
    <s v="Production"/>
    <n v="92"/>
    <n v="6"/>
  </r>
  <r>
    <s v="QHSE-2026-333"/>
    <s v="2026-06-04"/>
    <x v="5"/>
    <x v="0"/>
    <x v="0"/>
    <x v="1"/>
    <n v="2"/>
    <s v="Défaut de maintenance préventive"/>
    <n v="0"/>
    <n v="71051"/>
    <x v="1"/>
    <s v="Logistique"/>
    <n v="94"/>
    <n v="6"/>
  </r>
  <r>
    <s v="QHSE-2026-334"/>
    <s v="2026-06-04"/>
    <x v="5"/>
    <x v="1"/>
    <x v="3"/>
    <x v="5"/>
    <n v="2"/>
    <s v="Erreur humaine / Inattention"/>
    <n v="0"/>
    <n v="83471"/>
    <x v="2"/>
    <s v="Maintenance"/>
    <n v="73"/>
    <n v="6"/>
  </r>
  <r>
    <s v="QHSE-2026-335"/>
    <s v="2026-06-04"/>
    <x v="5"/>
    <x v="0"/>
    <x v="3"/>
    <x v="5"/>
    <n v="1"/>
    <s v="Erreur humaine / Inattention"/>
    <n v="0"/>
    <n v="48881"/>
    <x v="1"/>
    <s v="Ressources Humaines"/>
    <n v="95"/>
    <n v="6"/>
  </r>
  <r>
    <s v="QHSE-2026-336"/>
    <s v="2026-06-07"/>
    <x v="5"/>
    <x v="0"/>
    <x v="2"/>
    <x v="0"/>
    <n v="3"/>
    <s v="Manque de formation / Sensibilisation"/>
    <n v="6"/>
    <n v="421365"/>
    <x v="1"/>
    <s v="Maintenance"/>
    <n v="85"/>
    <n v="6"/>
  </r>
  <r>
    <s v="QHSE-2026-337"/>
    <s v="2026-06-07"/>
    <x v="5"/>
    <x v="2"/>
    <x v="4"/>
    <x v="3"/>
    <n v="1"/>
    <s v="Non-respect des consignes de sécurité / EPI"/>
    <n v="0"/>
    <n v="49098"/>
    <x v="1"/>
    <s v="Logistique"/>
    <n v="98"/>
    <n v="6"/>
  </r>
  <r>
    <s v="QHSE-2026-338"/>
    <s v="2026-06-09"/>
    <x v="5"/>
    <x v="2"/>
    <x v="5"/>
    <x v="1"/>
    <n v="1"/>
    <s v="Défaut de maintenance préventive"/>
    <n v="0"/>
    <n v="31276"/>
    <x v="0"/>
    <s v="Logistique"/>
    <n v="95"/>
    <n v="6"/>
  </r>
  <r>
    <s v="QHSE-2026-339"/>
    <s v="2026-06-09"/>
    <x v="5"/>
    <x v="0"/>
    <x v="5"/>
    <x v="5"/>
    <n v="2"/>
    <s v="Environnement de travail (Sol glissant, éclairage)"/>
    <n v="0"/>
    <n v="77157"/>
    <x v="0"/>
    <s v="Maintenance"/>
    <n v="89"/>
    <n v="6"/>
  </r>
  <r>
    <s v="QHSE-2026-340"/>
    <s v="2026-06-09"/>
    <x v="5"/>
    <x v="0"/>
    <x v="5"/>
    <x v="1"/>
    <n v="1"/>
    <s v="Manque de formation / Sensibilisation"/>
    <n v="0"/>
    <n v="13972"/>
    <x v="1"/>
    <s v="Ressources Humaines"/>
    <n v="76"/>
    <n v="6"/>
  </r>
  <r>
    <s v="QHSE-2026-341"/>
    <s v="2026-06-09"/>
    <x v="5"/>
    <x v="1"/>
    <x v="2"/>
    <x v="1"/>
    <n v="2"/>
    <s v="Environnement de travail (Sol glissant, éclairage)"/>
    <n v="0"/>
    <n v="91772"/>
    <x v="0"/>
    <s v="Maintenance"/>
    <n v="65"/>
    <n v="6"/>
  </r>
  <r>
    <s v="QHSE-2026-342"/>
    <s v="2026-06-10"/>
    <x v="5"/>
    <x v="0"/>
    <x v="3"/>
    <x v="0"/>
    <n v="2"/>
    <s v="Organisation du travail / Charge"/>
    <n v="12"/>
    <n v="235127"/>
    <x v="0"/>
    <s v="Logistique"/>
    <n v="86"/>
    <n v="6"/>
  </r>
  <r>
    <s v="QHSE-2026-343"/>
    <s v="2026-06-10"/>
    <x v="5"/>
    <x v="2"/>
    <x v="1"/>
    <x v="4"/>
    <n v="2"/>
    <s v="Erreur humaine / Inattention"/>
    <n v="0"/>
    <n v="132830"/>
    <x v="2"/>
    <s v="Logistique"/>
    <n v="65"/>
    <n v="6"/>
  </r>
  <r>
    <s v="QHSE-2026-344"/>
    <s v="2026-06-11"/>
    <x v="5"/>
    <x v="0"/>
    <x v="1"/>
    <x v="1"/>
    <n v="2"/>
    <s v="Environnement de travail (Sol glissant, éclairage)"/>
    <n v="0"/>
    <n v="129086"/>
    <x v="2"/>
    <s v="Production"/>
    <n v="65"/>
    <n v="6"/>
  </r>
  <r>
    <s v="QHSE-2026-345"/>
    <s v="2026-06-11"/>
    <x v="5"/>
    <x v="2"/>
    <x v="2"/>
    <x v="5"/>
    <n v="1"/>
    <s v="Défaillance technique / Matériel usé"/>
    <n v="0"/>
    <n v="22528"/>
    <x v="1"/>
    <s v="Production"/>
    <n v="85"/>
    <n v="6"/>
  </r>
  <r>
    <s v="QHSE-2026-346"/>
    <s v="2026-06-11"/>
    <x v="5"/>
    <x v="2"/>
    <x v="1"/>
    <x v="1"/>
    <n v="1"/>
    <s v="Environnement de travail (Sol glissant, éclairage)"/>
    <n v="0"/>
    <n v="15882"/>
    <x v="1"/>
    <s v="Service QHSE"/>
    <n v="79"/>
    <n v="6"/>
  </r>
  <r>
    <s v="QHSE-2026-347"/>
    <s v="2026-06-12"/>
    <x v="5"/>
    <x v="0"/>
    <x v="5"/>
    <x v="2"/>
    <n v="1"/>
    <s v="Organisation du travail / Charge"/>
    <n v="0"/>
    <n v="29514"/>
    <x v="1"/>
    <s v="Logistique"/>
    <n v="81"/>
    <n v="6"/>
  </r>
  <r>
    <s v="QHSE-2026-348"/>
    <s v="2026-06-12"/>
    <x v="5"/>
    <x v="0"/>
    <x v="4"/>
    <x v="1"/>
    <n v="1"/>
    <s v="Défaut de maintenance préventive"/>
    <n v="0"/>
    <n v="15201"/>
    <x v="1"/>
    <s v="Production"/>
    <n v="86"/>
    <n v="6"/>
  </r>
  <r>
    <s v="QHSE-2026-349"/>
    <s v="2026-06-13"/>
    <x v="5"/>
    <x v="0"/>
    <x v="0"/>
    <x v="1"/>
    <n v="1"/>
    <s v="Erreur humaine / Inattention"/>
    <n v="0"/>
    <n v="43419"/>
    <x v="3"/>
    <s v="Maintenance"/>
    <n v="99"/>
    <n v="6"/>
  </r>
  <r>
    <s v="QHSE-2026-350"/>
    <s v="2026-06-14"/>
    <x v="5"/>
    <x v="0"/>
    <x v="3"/>
    <x v="0"/>
    <n v="4"/>
    <s v="Manque de formation / Sensibilisation"/>
    <n v="11"/>
    <n v="2481587"/>
    <x v="1"/>
    <s v="Ressources Humaines"/>
    <n v="80"/>
    <n v="6"/>
  </r>
  <r>
    <s v="QHSE-2026-351"/>
    <s v="2026-06-14"/>
    <x v="5"/>
    <x v="3"/>
    <x v="3"/>
    <x v="4"/>
    <n v="3"/>
    <s v="Organisation du travail / Charge"/>
    <n v="0"/>
    <n v="531102"/>
    <x v="1"/>
    <s v="Maintenance"/>
    <n v="72"/>
    <n v="6"/>
  </r>
  <r>
    <s v="QHSE-2026-352"/>
    <s v="2026-06-15"/>
    <x v="5"/>
    <x v="0"/>
    <x v="2"/>
    <x v="2"/>
    <n v="2"/>
    <s v="Erreur humaine / Inattention"/>
    <n v="0"/>
    <n v="144801"/>
    <x v="0"/>
    <s v="Ressources Humaines"/>
    <n v="81"/>
    <n v="6"/>
  </r>
  <r>
    <s v="QHSE-2026-353"/>
    <s v="2026-06-16"/>
    <x v="5"/>
    <x v="4"/>
    <x v="3"/>
    <x v="3"/>
    <n v="3"/>
    <s v="Environnement de travail (Sol glissant, éclairage)"/>
    <n v="0"/>
    <n v="583095"/>
    <x v="1"/>
    <s v="Production"/>
    <n v="81"/>
    <n v="6"/>
  </r>
  <r>
    <s v="QHSE-2026-354"/>
    <s v="2026-06-16"/>
    <x v="5"/>
    <x v="0"/>
    <x v="5"/>
    <x v="3"/>
    <n v="2"/>
    <s v="Défaut de maintenance préventive"/>
    <n v="0"/>
    <n v="248971"/>
    <x v="1"/>
    <s v="Service QHSE"/>
    <n v="90"/>
    <n v="6"/>
  </r>
  <r>
    <s v="QHSE-2026-355"/>
    <s v="2026-06-17"/>
    <x v="5"/>
    <x v="1"/>
    <x v="1"/>
    <x v="1"/>
    <n v="2"/>
    <s v="Non-respect des consignes de sécurité / EPI"/>
    <n v="0"/>
    <n v="159076"/>
    <x v="1"/>
    <s v="Maintenance"/>
    <n v="77"/>
    <n v="6"/>
  </r>
  <r>
    <s v="QHSE-2026-356"/>
    <s v="2026-06-18"/>
    <x v="5"/>
    <x v="1"/>
    <x v="5"/>
    <x v="1"/>
    <n v="2"/>
    <s v="Défaut de maintenance préventive"/>
    <n v="0"/>
    <n v="67640"/>
    <x v="1"/>
    <s v="Maintenance"/>
    <n v="81"/>
    <n v="6"/>
  </r>
  <r>
    <s v="QHSE-2026-357"/>
    <s v="2026-06-19"/>
    <x v="5"/>
    <x v="2"/>
    <x v="2"/>
    <x v="0"/>
    <n v="4"/>
    <s v="Non-respect des consignes de sécurité / EPI"/>
    <n v="10"/>
    <n v="3427509"/>
    <x v="0"/>
    <s v="Maintenance"/>
    <n v="81"/>
    <n v="6"/>
  </r>
  <r>
    <s v="QHSE-2026-358"/>
    <s v="2026-06-20"/>
    <x v="5"/>
    <x v="2"/>
    <x v="5"/>
    <x v="0"/>
    <n v="3"/>
    <s v="Défaillance technique / Matériel usé"/>
    <n v="3"/>
    <n v="363688"/>
    <x v="1"/>
    <s v="Ressources Humaines"/>
    <n v="78"/>
    <n v="6"/>
  </r>
  <r>
    <s v="QHSE-2026-359"/>
    <s v="2026-06-21"/>
    <x v="5"/>
    <x v="2"/>
    <x v="1"/>
    <x v="3"/>
    <n v="3"/>
    <s v="Défaut de maintenance préventive"/>
    <n v="0"/>
    <n v="273203"/>
    <x v="1"/>
    <s v="Production"/>
    <n v="70"/>
    <n v="6"/>
  </r>
  <r>
    <s v="QHSE-2026-360"/>
    <s v="2026-06-21"/>
    <x v="5"/>
    <x v="0"/>
    <x v="4"/>
    <x v="1"/>
    <n v="2"/>
    <s v="Erreur humaine / Inattention"/>
    <n v="0"/>
    <n v="244148"/>
    <x v="1"/>
    <s v="Maintenance"/>
    <n v="99"/>
    <n v="6"/>
  </r>
  <r>
    <s v="QHSE-2026-361"/>
    <s v="2026-06-21"/>
    <x v="5"/>
    <x v="3"/>
    <x v="2"/>
    <x v="1"/>
    <n v="1"/>
    <s v="Non-respect des consignes de sécurité / EPI"/>
    <n v="0"/>
    <n v="40941"/>
    <x v="1"/>
    <s v="Maintenance"/>
    <n v="78"/>
    <n v="6"/>
  </r>
  <r>
    <s v="QHSE-2026-362"/>
    <s v="2026-06-21"/>
    <x v="5"/>
    <x v="4"/>
    <x v="4"/>
    <x v="1"/>
    <n v="1"/>
    <s v="Manque de formation / Sensibilisation"/>
    <n v="0"/>
    <n v="49204"/>
    <x v="0"/>
    <s v="Service QHSE"/>
    <n v="72"/>
    <n v="6"/>
  </r>
  <r>
    <s v="QHSE-2026-363"/>
    <s v="2026-06-22"/>
    <x v="5"/>
    <x v="3"/>
    <x v="0"/>
    <x v="2"/>
    <n v="2"/>
    <s v="Erreur humaine / Inattention"/>
    <n v="0"/>
    <n v="145575"/>
    <x v="1"/>
    <s v="Service QHSE"/>
    <n v="79"/>
    <n v="6"/>
  </r>
  <r>
    <s v="QHSE-2026-364"/>
    <s v="2026-06-24"/>
    <x v="5"/>
    <x v="0"/>
    <x v="4"/>
    <x v="4"/>
    <n v="3"/>
    <s v="Manque de formation / Sensibilisation"/>
    <n v="0"/>
    <n v="649193"/>
    <x v="1"/>
    <s v="Production"/>
    <n v="91"/>
    <n v="6"/>
  </r>
  <r>
    <s v="QHSE-2026-365"/>
    <s v="2026-06-25"/>
    <x v="5"/>
    <x v="1"/>
    <x v="0"/>
    <x v="2"/>
    <n v="1"/>
    <s v="Défaut de maintenance préventive"/>
    <n v="0"/>
    <n v="16733"/>
    <x v="3"/>
    <s v="Production"/>
    <n v="77"/>
    <n v="6"/>
  </r>
  <r>
    <s v="QHSE-2026-366"/>
    <s v="2026-06-25"/>
    <x v="5"/>
    <x v="3"/>
    <x v="0"/>
    <x v="5"/>
    <n v="2"/>
    <s v="Manque de formation / Sensibilisation"/>
    <n v="0"/>
    <n v="99381"/>
    <x v="0"/>
    <s v="Logistique"/>
    <n v="95"/>
    <n v="6"/>
  </r>
  <r>
    <s v="QHSE-2026-367"/>
    <s v="2026-06-26"/>
    <x v="5"/>
    <x v="0"/>
    <x v="4"/>
    <x v="5"/>
    <n v="2"/>
    <s v="Non-respect des consignes de sécurité / EPI"/>
    <n v="0"/>
    <n v="217709"/>
    <x v="1"/>
    <s v="Service QHSE"/>
    <n v="99"/>
    <n v="6"/>
  </r>
  <r>
    <s v="QHSE-2026-368"/>
    <s v="2026-06-27"/>
    <x v="5"/>
    <x v="0"/>
    <x v="2"/>
    <x v="4"/>
    <n v="3"/>
    <s v="Erreur humaine / Inattention"/>
    <n v="0"/>
    <n v="517139"/>
    <x v="1"/>
    <s v="Logistique"/>
    <n v="70"/>
    <n v="6"/>
  </r>
  <r>
    <s v="QHSE-2026-369"/>
    <s v="2026-06-28"/>
    <x v="5"/>
    <x v="1"/>
    <x v="1"/>
    <x v="3"/>
    <n v="3"/>
    <s v="Environnement de travail (Sol glissant, éclairage)"/>
    <n v="0"/>
    <n v="870111"/>
    <x v="0"/>
    <s v="Ressources Humaines"/>
    <n v="69"/>
    <n v="6"/>
  </r>
  <r>
    <s v="QHSE-2026-370"/>
    <s v="2026-06-28"/>
    <x v="5"/>
    <x v="2"/>
    <x v="5"/>
    <x v="4"/>
    <n v="2"/>
    <s v="Organisation du travail / Charge"/>
    <n v="0"/>
    <n v="191802"/>
    <x v="0"/>
    <s v="Logistique"/>
    <n v="86"/>
    <n v="6"/>
  </r>
  <r>
    <s v="QHSE-2026-371"/>
    <s v="2026-06-28"/>
    <x v="5"/>
    <x v="4"/>
    <x v="5"/>
    <x v="0"/>
    <n v="3"/>
    <s v="Non-respect des consignes de sécurité / EPI"/>
    <n v="3"/>
    <n v="382878"/>
    <x v="1"/>
    <s v="Maintenance"/>
    <n v="87"/>
    <n v="6"/>
  </r>
  <r>
    <s v="QHSE-2026-372"/>
    <s v="2026-06-28"/>
    <x v="5"/>
    <x v="0"/>
    <x v="1"/>
    <x v="5"/>
    <n v="2"/>
    <s v="Non-respect des consignes de sécurité / EPI"/>
    <n v="0"/>
    <n v="151489"/>
    <x v="3"/>
    <s v="Logistique"/>
    <n v="89"/>
    <n v="6"/>
  </r>
  <r>
    <s v="QHSE-2026-373"/>
    <s v="2026-06-29"/>
    <x v="5"/>
    <x v="1"/>
    <x v="0"/>
    <x v="1"/>
    <n v="2"/>
    <s v="Environnement de travail (Sol glissant, éclairage)"/>
    <n v="0"/>
    <n v="185477"/>
    <x v="1"/>
    <s v="Production"/>
    <n v="98"/>
    <n v="6"/>
  </r>
  <r>
    <s v="QHSE-2026-374"/>
    <s v="2026-06-30"/>
    <x v="5"/>
    <x v="0"/>
    <x v="0"/>
    <x v="1"/>
    <n v="1"/>
    <s v="Erreur humaine / Inattention"/>
    <n v="0"/>
    <n v="19401"/>
    <x v="1"/>
    <s v="Ressources Humaines"/>
    <n v="90"/>
    <n v="6"/>
  </r>
  <r>
    <s v="QHSE-2026-375"/>
    <s v="2026-07-01"/>
    <x v="6"/>
    <x v="0"/>
    <x v="2"/>
    <x v="3"/>
    <n v="3"/>
    <s v="Erreur humaine / Inattention"/>
    <n v="0"/>
    <n v="873016"/>
    <x v="1"/>
    <s v="Maintenance"/>
    <n v="69"/>
    <n v="7"/>
  </r>
  <r>
    <s v="QHSE-2026-376"/>
    <s v="2026-07-02"/>
    <x v="6"/>
    <x v="0"/>
    <x v="3"/>
    <x v="0"/>
    <n v="3"/>
    <s v="Défaut de maintenance préventive"/>
    <n v="1"/>
    <n v="658620"/>
    <x v="1"/>
    <s v="Logistique"/>
    <n v="90"/>
    <n v="7"/>
  </r>
  <r>
    <s v="QHSE-2026-377"/>
    <s v="2026-07-04"/>
    <x v="6"/>
    <x v="4"/>
    <x v="4"/>
    <x v="2"/>
    <n v="2"/>
    <s v="Manque de formation / Sensibilisation"/>
    <n v="0"/>
    <n v="83048"/>
    <x v="2"/>
    <s v="Ressources Humaines"/>
    <n v="84"/>
    <n v="7"/>
  </r>
  <r>
    <s v="QHSE-2026-378"/>
    <s v="2026-07-04"/>
    <x v="6"/>
    <x v="1"/>
    <x v="0"/>
    <x v="0"/>
    <n v="3"/>
    <s v="Défaut de maintenance préventive"/>
    <n v="7"/>
    <n v="687238"/>
    <x v="1"/>
    <s v="Ressources Humaines"/>
    <n v="70"/>
    <n v="7"/>
  </r>
  <r>
    <s v="QHSE-2026-379"/>
    <s v="2026-07-04"/>
    <x v="6"/>
    <x v="2"/>
    <x v="5"/>
    <x v="1"/>
    <n v="2"/>
    <s v="Environnement de travail (Sol glissant, éclairage)"/>
    <n v="0"/>
    <n v="249942"/>
    <x v="1"/>
    <s v="Maintenance"/>
    <n v="70"/>
    <n v="7"/>
  </r>
  <r>
    <s v="QHSE-2026-380"/>
    <s v="2026-07-05"/>
    <x v="6"/>
    <x v="2"/>
    <x v="2"/>
    <x v="1"/>
    <n v="2"/>
    <s v="Défaut de maintenance préventive"/>
    <n v="0"/>
    <n v="80104"/>
    <x v="2"/>
    <s v="Logistique"/>
    <n v="82"/>
    <n v="7"/>
  </r>
  <r>
    <s v="QHSE-2026-381"/>
    <s v="2026-07-06"/>
    <x v="6"/>
    <x v="4"/>
    <x v="4"/>
    <x v="5"/>
    <n v="2"/>
    <s v="Environnement de travail (Sol glissant, éclairage)"/>
    <n v="0"/>
    <n v="213351"/>
    <x v="1"/>
    <s v="Ressources Humaines"/>
    <n v="68"/>
    <n v="7"/>
  </r>
  <r>
    <s v="QHSE-2026-382"/>
    <s v="2026-07-07"/>
    <x v="6"/>
    <x v="2"/>
    <x v="2"/>
    <x v="0"/>
    <n v="4"/>
    <s v="Erreur humaine / Inattention"/>
    <n v="5"/>
    <n v="1829236"/>
    <x v="1"/>
    <s v="Ressources Humaines"/>
    <n v="81"/>
    <n v="7"/>
  </r>
  <r>
    <s v="QHSE-2026-383"/>
    <s v="2026-07-07"/>
    <x v="6"/>
    <x v="4"/>
    <x v="4"/>
    <x v="0"/>
    <n v="4"/>
    <s v="Manque de formation / Sensibilisation"/>
    <n v="4"/>
    <n v="4129553"/>
    <x v="1"/>
    <s v="Service QHSE"/>
    <n v="78"/>
    <n v="7"/>
  </r>
  <r>
    <s v="QHSE-2026-384"/>
    <s v="2026-07-07"/>
    <x v="6"/>
    <x v="2"/>
    <x v="4"/>
    <x v="1"/>
    <n v="2"/>
    <s v="Défaut de maintenance préventive"/>
    <n v="0"/>
    <n v="196915"/>
    <x v="1"/>
    <s v="Ressources Humaines"/>
    <n v="78"/>
    <n v="7"/>
  </r>
  <r>
    <s v="QHSE-2026-385"/>
    <s v="2026-07-07"/>
    <x v="6"/>
    <x v="2"/>
    <x v="1"/>
    <x v="2"/>
    <n v="2"/>
    <s v="Non-respect des consignes de sécurité / EPI"/>
    <n v="0"/>
    <n v="110097"/>
    <x v="1"/>
    <s v="Service QHSE"/>
    <n v="77"/>
    <n v="7"/>
  </r>
  <r>
    <s v="QHSE-2026-386"/>
    <s v="2026-07-07"/>
    <x v="6"/>
    <x v="2"/>
    <x v="0"/>
    <x v="3"/>
    <n v="1"/>
    <s v="Défaillance technique / Matériel usé"/>
    <n v="0"/>
    <n v="23032"/>
    <x v="0"/>
    <s v="Logistique"/>
    <n v="71"/>
    <n v="7"/>
  </r>
  <r>
    <s v="QHSE-2026-387"/>
    <s v="2026-07-08"/>
    <x v="6"/>
    <x v="0"/>
    <x v="2"/>
    <x v="1"/>
    <n v="1"/>
    <s v="Organisation du travail / Charge"/>
    <n v="0"/>
    <n v="41700"/>
    <x v="1"/>
    <s v="Logistique"/>
    <n v="79"/>
    <n v="7"/>
  </r>
  <r>
    <s v="QHSE-2026-388"/>
    <s v="2026-07-10"/>
    <x v="6"/>
    <x v="1"/>
    <x v="2"/>
    <x v="3"/>
    <n v="1"/>
    <s v="Non-respect des consignes de sécurité / EPI"/>
    <n v="0"/>
    <n v="28457"/>
    <x v="1"/>
    <s v="Logistique"/>
    <n v="83"/>
    <n v="7"/>
  </r>
  <r>
    <s v="QHSE-2026-389"/>
    <s v="2026-07-10"/>
    <x v="6"/>
    <x v="2"/>
    <x v="1"/>
    <x v="0"/>
    <n v="4"/>
    <s v="Erreur humaine / Inattention"/>
    <n v="10"/>
    <n v="3923272"/>
    <x v="0"/>
    <s v="Production"/>
    <n v="99"/>
    <n v="7"/>
  </r>
  <r>
    <s v="QHSE-2026-390"/>
    <s v="2026-07-10"/>
    <x v="6"/>
    <x v="0"/>
    <x v="5"/>
    <x v="3"/>
    <n v="2"/>
    <s v="Organisation du travail / Charge"/>
    <n v="0"/>
    <n v="79596"/>
    <x v="0"/>
    <s v="Logistique"/>
    <n v="81"/>
    <n v="7"/>
  </r>
  <r>
    <s v="QHSE-2026-391"/>
    <s v="2026-07-11"/>
    <x v="6"/>
    <x v="4"/>
    <x v="5"/>
    <x v="1"/>
    <n v="1"/>
    <s v="Défaillance technique / Matériel usé"/>
    <n v="0"/>
    <n v="44102"/>
    <x v="1"/>
    <s v="Ressources Humaines"/>
    <n v="99"/>
    <n v="7"/>
  </r>
  <r>
    <s v="QHSE-2026-392"/>
    <s v="2026-07-11"/>
    <x v="6"/>
    <x v="2"/>
    <x v="0"/>
    <x v="1"/>
    <n v="2"/>
    <s v="Défaillance technique / Matériel usé"/>
    <n v="0"/>
    <n v="192176"/>
    <x v="1"/>
    <s v="Maintenance"/>
    <n v="83"/>
    <n v="7"/>
  </r>
  <r>
    <s v="QHSE-2026-393"/>
    <s v="2026-07-11"/>
    <x v="6"/>
    <x v="2"/>
    <x v="0"/>
    <x v="0"/>
    <n v="4"/>
    <s v="Manque de formation / Sensibilisation"/>
    <n v="4"/>
    <n v="4627771"/>
    <x v="1"/>
    <s v="Service QHSE"/>
    <n v="84"/>
    <n v="7"/>
  </r>
  <r>
    <s v="QHSE-2026-394"/>
    <s v="2026-07-12"/>
    <x v="6"/>
    <x v="4"/>
    <x v="3"/>
    <x v="0"/>
    <n v="3"/>
    <s v="Organisation du travail / Charge"/>
    <n v="14"/>
    <n v="349279"/>
    <x v="1"/>
    <s v="Production"/>
    <n v="99"/>
    <n v="7"/>
  </r>
  <r>
    <s v="QHSE-2026-395"/>
    <s v="2026-07-13"/>
    <x v="6"/>
    <x v="1"/>
    <x v="1"/>
    <x v="1"/>
    <n v="2"/>
    <s v="Manque de formation / Sensibilisation"/>
    <n v="0"/>
    <n v="168602"/>
    <x v="1"/>
    <s v="Logistique"/>
    <n v="96"/>
    <n v="7"/>
  </r>
  <r>
    <s v="QHSE-2026-396"/>
    <s v="2026-07-13"/>
    <x v="6"/>
    <x v="0"/>
    <x v="5"/>
    <x v="1"/>
    <n v="2"/>
    <s v="Non-respect des consignes de sécurité / EPI"/>
    <n v="0"/>
    <n v="169824"/>
    <x v="1"/>
    <s v="Logistique"/>
    <n v="88"/>
    <n v="7"/>
  </r>
  <r>
    <s v="QHSE-2026-397"/>
    <s v="2026-07-15"/>
    <x v="6"/>
    <x v="3"/>
    <x v="4"/>
    <x v="5"/>
    <n v="2"/>
    <s v="Environnement de travail (Sol glissant, éclairage)"/>
    <n v="0"/>
    <n v="120692"/>
    <x v="2"/>
    <s v="Maintenance"/>
    <n v="81"/>
    <n v="7"/>
  </r>
  <r>
    <s v="QHSE-2026-398"/>
    <s v="2026-07-15"/>
    <x v="6"/>
    <x v="1"/>
    <x v="2"/>
    <x v="0"/>
    <n v="3"/>
    <s v="Environnement de travail (Sol glissant, éclairage)"/>
    <n v="4"/>
    <n v="593849"/>
    <x v="1"/>
    <s v="Maintenance"/>
    <n v="71"/>
    <n v="7"/>
  </r>
  <r>
    <s v="QHSE-2026-399"/>
    <s v="2026-07-16"/>
    <x v="6"/>
    <x v="0"/>
    <x v="0"/>
    <x v="2"/>
    <n v="1"/>
    <s v="Environnement de travail (Sol glissant, éclairage)"/>
    <n v="0"/>
    <n v="11519"/>
    <x v="0"/>
    <s v="Production"/>
    <n v="65"/>
    <n v="7"/>
  </r>
  <r>
    <s v="QHSE-2026-400"/>
    <s v="2026-07-16"/>
    <x v="6"/>
    <x v="0"/>
    <x v="2"/>
    <x v="3"/>
    <n v="2"/>
    <s v="Organisation du travail / Charge"/>
    <n v="0"/>
    <n v="199172"/>
    <x v="1"/>
    <s v="Service QHSE"/>
    <n v="99"/>
    <n v="7"/>
  </r>
  <r>
    <s v="QHSE-2026-401"/>
    <s v="2026-07-16"/>
    <x v="6"/>
    <x v="1"/>
    <x v="2"/>
    <x v="0"/>
    <n v="2"/>
    <s v="Environnement de travail (Sol glissant, éclairage)"/>
    <n v="6"/>
    <n v="159864"/>
    <x v="0"/>
    <s v="Logistique"/>
    <n v="96"/>
    <n v="7"/>
  </r>
  <r>
    <s v="QHSE-2026-402"/>
    <s v="2026-07-17"/>
    <x v="6"/>
    <x v="1"/>
    <x v="3"/>
    <x v="4"/>
    <n v="2"/>
    <s v="Non-respect des consignes de sécurité / EPI"/>
    <n v="0"/>
    <n v="61548"/>
    <x v="0"/>
    <s v="Production"/>
    <n v="77"/>
    <n v="7"/>
  </r>
  <r>
    <s v="QHSE-2026-403"/>
    <s v="2026-07-17"/>
    <x v="6"/>
    <x v="2"/>
    <x v="5"/>
    <x v="5"/>
    <n v="2"/>
    <s v="Manque de formation / Sensibilisation"/>
    <n v="0"/>
    <n v="186151"/>
    <x v="2"/>
    <s v="Ressources Humaines"/>
    <n v="70"/>
    <n v="7"/>
  </r>
  <r>
    <s v="QHSE-2026-404"/>
    <s v="2026-07-20"/>
    <x v="6"/>
    <x v="4"/>
    <x v="0"/>
    <x v="4"/>
    <n v="2"/>
    <s v="Organisation du travail / Charge"/>
    <n v="0"/>
    <n v="143356"/>
    <x v="1"/>
    <s v="Ressources Humaines"/>
    <n v="78"/>
    <n v="7"/>
  </r>
  <r>
    <s v="QHSE-2026-405"/>
    <s v="2026-07-21"/>
    <x v="6"/>
    <x v="1"/>
    <x v="2"/>
    <x v="1"/>
    <n v="2"/>
    <s v="Manque de formation / Sensibilisation"/>
    <n v="0"/>
    <n v="56892"/>
    <x v="1"/>
    <s v="Production"/>
    <n v="79"/>
    <n v="7"/>
  </r>
  <r>
    <s v="QHSE-2026-406"/>
    <s v="2026-07-21"/>
    <x v="6"/>
    <x v="0"/>
    <x v="0"/>
    <x v="1"/>
    <n v="1"/>
    <s v="Organisation du travail / Charge"/>
    <n v="0"/>
    <n v="48784"/>
    <x v="1"/>
    <s v="Logistique"/>
    <n v="68"/>
    <n v="7"/>
  </r>
  <r>
    <s v="QHSE-2026-407"/>
    <s v="2026-07-22"/>
    <x v="6"/>
    <x v="0"/>
    <x v="4"/>
    <x v="3"/>
    <n v="2"/>
    <s v="Manque de formation / Sensibilisation"/>
    <n v="0"/>
    <n v="239822"/>
    <x v="0"/>
    <s v="Production"/>
    <n v="80"/>
    <n v="7"/>
  </r>
  <r>
    <s v="QHSE-2026-408"/>
    <s v="2026-07-23"/>
    <x v="6"/>
    <x v="0"/>
    <x v="3"/>
    <x v="0"/>
    <n v="2"/>
    <s v="Défaillance technique / Matériel usé"/>
    <n v="8"/>
    <n v="152580"/>
    <x v="1"/>
    <s v="Logistique"/>
    <n v="92"/>
    <n v="7"/>
  </r>
  <r>
    <s v="QHSE-2026-409"/>
    <s v="2026-07-25"/>
    <x v="6"/>
    <x v="1"/>
    <x v="4"/>
    <x v="4"/>
    <n v="3"/>
    <s v="Manque de formation / Sensibilisation"/>
    <n v="0"/>
    <n v="320254"/>
    <x v="1"/>
    <s v="Maintenance"/>
    <n v="80"/>
    <n v="7"/>
  </r>
  <r>
    <s v="QHSE-2026-410"/>
    <s v="2026-07-26"/>
    <x v="6"/>
    <x v="0"/>
    <x v="0"/>
    <x v="3"/>
    <n v="2"/>
    <s v="Environnement de travail (Sol glissant, éclairage)"/>
    <n v="0"/>
    <n v="200924"/>
    <x v="1"/>
    <s v="Production"/>
    <n v="68"/>
    <n v="7"/>
  </r>
  <r>
    <s v="QHSE-2026-411"/>
    <s v="2026-07-28"/>
    <x v="6"/>
    <x v="2"/>
    <x v="0"/>
    <x v="1"/>
    <n v="2"/>
    <s v="Défaillance technique / Matériel usé"/>
    <n v="0"/>
    <n v="148386"/>
    <x v="1"/>
    <s v="Logistique"/>
    <n v="90"/>
    <n v="7"/>
  </r>
  <r>
    <s v="QHSE-2026-412"/>
    <s v="2026-07-29"/>
    <x v="6"/>
    <x v="1"/>
    <x v="5"/>
    <x v="1"/>
    <n v="1"/>
    <s v="Manque de formation / Sensibilisation"/>
    <n v="0"/>
    <n v="22097"/>
    <x v="1"/>
    <s v="Production"/>
    <n v="92"/>
    <n v="7"/>
  </r>
  <r>
    <s v="QHSE-2026-413"/>
    <s v="2026-07-31"/>
    <x v="6"/>
    <x v="4"/>
    <x v="2"/>
    <x v="2"/>
    <n v="2"/>
    <s v="Organisation du travail / Charge"/>
    <n v="0"/>
    <n v="148283"/>
    <x v="1"/>
    <s v="Production"/>
    <n v="96"/>
    <n v="7"/>
  </r>
  <r>
    <s v="QHSE-2026-414"/>
    <s v="2026-07-31"/>
    <x v="6"/>
    <x v="0"/>
    <x v="2"/>
    <x v="5"/>
    <n v="1"/>
    <s v="Organisation du travail / Charge"/>
    <n v="0"/>
    <n v="30897"/>
    <x v="3"/>
    <s v="Logistique"/>
    <n v="66"/>
    <n v="7"/>
  </r>
  <r>
    <s v="QHSE-2026-415"/>
    <s v="2026-07-31"/>
    <x v="6"/>
    <x v="4"/>
    <x v="4"/>
    <x v="3"/>
    <n v="3"/>
    <s v="Organisation du travail / Charge"/>
    <n v="0"/>
    <n v="672033"/>
    <x v="0"/>
    <s v="Logistique"/>
    <n v="95"/>
    <n v="7"/>
  </r>
  <r>
    <s v="QHSE-2026-416"/>
    <s v="2026-07-31"/>
    <x v="6"/>
    <x v="0"/>
    <x v="3"/>
    <x v="3"/>
    <n v="1"/>
    <s v="Erreur humaine / Inattention"/>
    <n v="0"/>
    <n v="27648"/>
    <x v="3"/>
    <s v="Service QHSE"/>
    <n v="67"/>
    <n v="7"/>
  </r>
  <r>
    <s v="QHSE-2026-417"/>
    <s v="2026-07-31"/>
    <x v="6"/>
    <x v="4"/>
    <x v="1"/>
    <x v="2"/>
    <n v="2"/>
    <s v="Non-respect des consignes de sécurité / EPI"/>
    <n v="0"/>
    <n v="171151"/>
    <x v="1"/>
    <s v="Production"/>
    <n v="72"/>
    <n v="7"/>
  </r>
  <r>
    <s v="QHSE-2026-418"/>
    <s v="2026-08-01"/>
    <x v="7"/>
    <x v="0"/>
    <x v="2"/>
    <x v="3"/>
    <n v="1"/>
    <s v="Organisation du travail / Charge"/>
    <n v="0"/>
    <n v="46749"/>
    <x v="2"/>
    <s v="Ressources Humaines"/>
    <n v="88"/>
    <n v="8"/>
  </r>
  <r>
    <s v="QHSE-2026-419"/>
    <s v="2026-08-02"/>
    <x v="7"/>
    <x v="2"/>
    <x v="5"/>
    <x v="1"/>
    <n v="1"/>
    <s v="Défaillance technique / Matériel usé"/>
    <n v="0"/>
    <n v="24490"/>
    <x v="2"/>
    <s v="Production"/>
    <n v="79"/>
    <n v="8"/>
  </r>
  <r>
    <s v="QHSE-2026-420"/>
    <s v="2026-08-03"/>
    <x v="7"/>
    <x v="1"/>
    <x v="4"/>
    <x v="1"/>
    <n v="1"/>
    <s v="Organisation du travail / Charge"/>
    <n v="0"/>
    <n v="39028"/>
    <x v="0"/>
    <s v="Production"/>
    <n v="95"/>
    <n v="8"/>
  </r>
  <r>
    <s v="QHSE-2026-421"/>
    <s v="2026-08-03"/>
    <x v="7"/>
    <x v="0"/>
    <x v="4"/>
    <x v="2"/>
    <n v="2"/>
    <s v="Erreur humaine / Inattention"/>
    <n v="0"/>
    <n v="228890"/>
    <x v="0"/>
    <s v="Logistique"/>
    <n v="73"/>
    <n v="8"/>
  </r>
  <r>
    <s v="QHSE-2026-422"/>
    <s v="2026-08-04"/>
    <x v="7"/>
    <x v="0"/>
    <x v="1"/>
    <x v="5"/>
    <n v="2"/>
    <s v="Environnement de travail (Sol glissant, éclairage)"/>
    <n v="0"/>
    <n v="141195"/>
    <x v="1"/>
    <s v="Production"/>
    <n v="66"/>
    <n v="8"/>
  </r>
  <r>
    <s v="QHSE-2026-423"/>
    <s v="2026-08-04"/>
    <x v="7"/>
    <x v="1"/>
    <x v="5"/>
    <x v="0"/>
    <n v="2"/>
    <s v="Défaillance technique / Matériel usé"/>
    <n v="8"/>
    <n v="138691"/>
    <x v="2"/>
    <s v="Production"/>
    <n v="72"/>
    <n v="8"/>
  </r>
  <r>
    <s v="QHSE-2026-424"/>
    <s v="2026-08-05"/>
    <x v="7"/>
    <x v="1"/>
    <x v="3"/>
    <x v="4"/>
    <n v="3"/>
    <s v="Erreur humaine / Inattention"/>
    <n v="0"/>
    <n v="701587"/>
    <x v="1"/>
    <s v="Ressources Humaines"/>
    <n v="71"/>
    <n v="8"/>
  </r>
  <r>
    <s v="QHSE-2026-425"/>
    <s v="2026-08-06"/>
    <x v="7"/>
    <x v="1"/>
    <x v="5"/>
    <x v="0"/>
    <n v="2"/>
    <s v="Environnement de travail (Sol glissant, éclairage)"/>
    <n v="5"/>
    <n v="168281"/>
    <x v="1"/>
    <s v="Logistique"/>
    <n v="80"/>
    <n v="8"/>
  </r>
  <r>
    <s v="QHSE-2026-426"/>
    <s v="2026-08-06"/>
    <x v="7"/>
    <x v="1"/>
    <x v="3"/>
    <x v="3"/>
    <n v="3"/>
    <s v="Défaut de maintenance préventive"/>
    <n v="0"/>
    <n v="854942"/>
    <x v="1"/>
    <s v="Production"/>
    <n v="99"/>
    <n v="8"/>
  </r>
  <r>
    <s v="QHSE-2026-427"/>
    <s v="2026-08-07"/>
    <x v="7"/>
    <x v="2"/>
    <x v="5"/>
    <x v="4"/>
    <n v="3"/>
    <s v="Défaut de maintenance préventive"/>
    <n v="0"/>
    <n v="607362"/>
    <x v="3"/>
    <s v="Maintenance"/>
    <n v="94"/>
    <n v="8"/>
  </r>
  <r>
    <s v="QHSE-2026-428"/>
    <s v="2026-08-09"/>
    <x v="7"/>
    <x v="0"/>
    <x v="5"/>
    <x v="2"/>
    <n v="1"/>
    <s v="Défaillance technique / Matériel usé"/>
    <n v="0"/>
    <n v="49844"/>
    <x v="2"/>
    <s v="Service QHSE"/>
    <n v="74"/>
    <n v="8"/>
  </r>
  <r>
    <s v="QHSE-2026-429"/>
    <s v="2026-08-10"/>
    <x v="7"/>
    <x v="0"/>
    <x v="0"/>
    <x v="2"/>
    <n v="2"/>
    <s v="Manque de formation / Sensibilisation"/>
    <n v="0"/>
    <n v="61894"/>
    <x v="3"/>
    <s v="Ressources Humaines"/>
    <n v="82"/>
    <n v="8"/>
  </r>
  <r>
    <s v="QHSE-2026-430"/>
    <s v="2026-08-10"/>
    <x v="7"/>
    <x v="0"/>
    <x v="4"/>
    <x v="5"/>
    <n v="2"/>
    <s v="Non-respect des consignes de sécurité / EPI"/>
    <n v="0"/>
    <n v="50633"/>
    <x v="0"/>
    <s v="Production"/>
    <n v="69"/>
    <n v="8"/>
  </r>
  <r>
    <s v="QHSE-2026-431"/>
    <s v="2026-08-11"/>
    <x v="7"/>
    <x v="4"/>
    <x v="5"/>
    <x v="4"/>
    <n v="3"/>
    <s v="Non-respect des consignes de sécurité / EPI"/>
    <n v="0"/>
    <n v="730148"/>
    <x v="1"/>
    <s v="Maintenance"/>
    <n v="93"/>
    <n v="8"/>
  </r>
  <r>
    <s v="QHSE-2026-432"/>
    <s v="2026-08-12"/>
    <x v="7"/>
    <x v="2"/>
    <x v="1"/>
    <x v="1"/>
    <n v="2"/>
    <s v="Erreur humaine / Inattention"/>
    <n v="0"/>
    <n v="109686"/>
    <x v="1"/>
    <s v="Production"/>
    <n v="98"/>
    <n v="8"/>
  </r>
  <r>
    <s v="QHSE-2026-433"/>
    <s v="2026-08-12"/>
    <x v="7"/>
    <x v="2"/>
    <x v="5"/>
    <x v="4"/>
    <n v="3"/>
    <s v="Environnement de travail (Sol glissant, éclairage)"/>
    <n v="0"/>
    <n v="430286"/>
    <x v="1"/>
    <s v="Production"/>
    <n v="87"/>
    <n v="8"/>
  </r>
  <r>
    <s v="QHSE-2026-434"/>
    <s v="2026-08-13"/>
    <x v="7"/>
    <x v="2"/>
    <x v="2"/>
    <x v="3"/>
    <n v="1"/>
    <s v="Non-respect des consignes de sécurité / EPI"/>
    <n v="0"/>
    <n v="22475"/>
    <x v="1"/>
    <s v="Logistique"/>
    <n v="69"/>
    <n v="8"/>
  </r>
  <r>
    <s v="QHSE-2026-435"/>
    <s v="2026-08-14"/>
    <x v="7"/>
    <x v="3"/>
    <x v="4"/>
    <x v="1"/>
    <n v="1"/>
    <s v="Environnement de travail (Sol glissant, éclairage)"/>
    <n v="0"/>
    <n v="20241"/>
    <x v="1"/>
    <s v="Logistique"/>
    <n v="94"/>
    <n v="8"/>
  </r>
  <r>
    <s v="QHSE-2026-436"/>
    <s v="2026-08-14"/>
    <x v="7"/>
    <x v="0"/>
    <x v="2"/>
    <x v="1"/>
    <n v="2"/>
    <s v="Environnement de travail (Sol glissant, éclairage)"/>
    <n v="0"/>
    <n v="56158"/>
    <x v="1"/>
    <s v="Logistique"/>
    <n v="70"/>
    <n v="8"/>
  </r>
  <r>
    <s v="QHSE-2026-437"/>
    <s v="2026-08-14"/>
    <x v="7"/>
    <x v="2"/>
    <x v="4"/>
    <x v="1"/>
    <n v="2"/>
    <s v="Erreur humaine / Inattention"/>
    <n v="0"/>
    <n v="244306"/>
    <x v="1"/>
    <s v="Maintenance"/>
    <n v="68"/>
    <n v="8"/>
  </r>
  <r>
    <s v="QHSE-2026-438"/>
    <s v="2026-08-15"/>
    <x v="7"/>
    <x v="2"/>
    <x v="2"/>
    <x v="1"/>
    <n v="2"/>
    <s v="Erreur humaine / Inattention"/>
    <n v="0"/>
    <n v="94149"/>
    <x v="3"/>
    <s v="Production"/>
    <n v="93"/>
    <n v="8"/>
  </r>
  <r>
    <s v="QHSE-2026-439"/>
    <s v="2026-08-16"/>
    <x v="7"/>
    <x v="1"/>
    <x v="5"/>
    <x v="2"/>
    <n v="1"/>
    <s v="Erreur humaine / Inattention"/>
    <n v="0"/>
    <n v="39361"/>
    <x v="1"/>
    <s v="Service QHSE"/>
    <n v="87"/>
    <n v="8"/>
  </r>
  <r>
    <s v="QHSE-2026-440"/>
    <s v="2026-08-17"/>
    <x v="7"/>
    <x v="0"/>
    <x v="5"/>
    <x v="4"/>
    <n v="3"/>
    <s v="Non-respect des consignes de sécurité / EPI"/>
    <n v="0"/>
    <n v="821947"/>
    <x v="2"/>
    <s v="Ressources Humaines"/>
    <n v="70"/>
    <n v="8"/>
  </r>
  <r>
    <s v="QHSE-2026-441"/>
    <s v="2026-08-18"/>
    <x v="7"/>
    <x v="4"/>
    <x v="0"/>
    <x v="1"/>
    <n v="1"/>
    <s v="Défaut de maintenance préventive"/>
    <n v="0"/>
    <n v="47170"/>
    <x v="0"/>
    <s v="Logistique"/>
    <n v="96"/>
    <n v="8"/>
  </r>
  <r>
    <s v="QHSE-2026-442"/>
    <s v="2026-08-19"/>
    <x v="7"/>
    <x v="3"/>
    <x v="1"/>
    <x v="0"/>
    <n v="3"/>
    <s v="Erreur humaine / Inattention"/>
    <n v="6"/>
    <n v="272912"/>
    <x v="1"/>
    <s v="Logistique"/>
    <n v="82"/>
    <n v="8"/>
  </r>
  <r>
    <s v="QHSE-2026-443"/>
    <s v="2026-08-19"/>
    <x v="7"/>
    <x v="2"/>
    <x v="2"/>
    <x v="5"/>
    <n v="2"/>
    <s v="Non-respect des consignes de sécurité / EPI"/>
    <n v="0"/>
    <n v="224409"/>
    <x v="1"/>
    <s v="Production"/>
    <n v="79"/>
    <n v="8"/>
  </r>
  <r>
    <s v="QHSE-2026-444"/>
    <s v="2026-08-20"/>
    <x v="7"/>
    <x v="1"/>
    <x v="3"/>
    <x v="0"/>
    <n v="2"/>
    <s v="Erreur humaine / Inattention"/>
    <n v="4"/>
    <n v="155445"/>
    <x v="1"/>
    <s v="Production"/>
    <n v="96"/>
    <n v="8"/>
  </r>
  <r>
    <s v="QHSE-2026-445"/>
    <s v="2026-08-21"/>
    <x v="7"/>
    <x v="3"/>
    <x v="0"/>
    <x v="1"/>
    <n v="1"/>
    <s v="Organisation du travail / Charge"/>
    <n v="0"/>
    <n v="35301"/>
    <x v="1"/>
    <s v="Maintenance"/>
    <n v="73"/>
    <n v="8"/>
  </r>
  <r>
    <s v="QHSE-2026-446"/>
    <s v="2026-08-21"/>
    <x v="7"/>
    <x v="1"/>
    <x v="2"/>
    <x v="5"/>
    <n v="2"/>
    <s v="Environnement de travail (Sol glissant, éclairage)"/>
    <n v="0"/>
    <n v="178894"/>
    <x v="0"/>
    <s v="Maintenance"/>
    <n v="74"/>
    <n v="8"/>
  </r>
  <r>
    <s v="QHSE-2026-447"/>
    <s v="2026-08-21"/>
    <x v="7"/>
    <x v="0"/>
    <x v="2"/>
    <x v="3"/>
    <n v="2"/>
    <s v="Erreur humaine / Inattention"/>
    <n v="0"/>
    <n v="213959"/>
    <x v="1"/>
    <s v="Logistique"/>
    <n v="84"/>
    <n v="8"/>
  </r>
  <r>
    <s v="QHSE-2026-448"/>
    <s v="2026-08-22"/>
    <x v="7"/>
    <x v="2"/>
    <x v="0"/>
    <x v="0"/>
    <n v="4"/>
    <s v="Défaillance technique / Matériel usé"/>
    <n v="12"/>
    <n v="2333629"/>
    <x v="1"/>
    <s v="Production"/>
    <n v="70"/>
    <n v="8"/>
  </r>
  <r>
    <s v="QHSE-2026-449"/>
    <s v="2026-08-22"/>
    <x v="7"/>
    <x v="1"/>
    <x v="5"/>
    <x v="4"/>
    <n v="2"/>
    <s v="Environnement de travail (Sol glissant, éclairage)"/>
    <n v="0"/>
    <n v="196610"/>
    <x v="1"/>
    <s v="Service QHSE"/>
    <n v="67"/>
    <n v="8"/>
  </r>
  <r>
    <s v="QHSE-2026-450"/>
    <s v="2026-08-23"/>
    <x v="7"/>
    <x v="2"/>
    <x v="2"/>
    <x v="4"/>
    <n v="2"/>
    <s v="Environnement de travail (Sol glissant, éclairage)"/>
    <n v="0"/>
    <n v="155715"/>
    <x v="3"/>
    <s v="Ressources Humaines"/>
    <n v="75"/>
    <n v="8"/>
  </r>
  <r>
    <s v="QHSE-2026-451"/>
    <s v="2026-08-23"/>
    <x v="7"/>
    <x v="1"/>
    <x v="5"/>
    <x v="0"/>
    <n v="4"/>
    <s v="Erreur humaine / Inattention"/>
    <n v="14"/>
    <n v="4173576"/>
    <x v="0"/>
    <s v="Production"/>
    <n v="81"/>
    <n v="8"/>
  </r>
  <r>
    <s v="QHSE-2026-452"/>
    <s v="2026-08-24"/>
    <x v="7"/>
    <x v="3"/>
    <x v="0"/>
    <x v="1"/>
    <n v="1"/>
    <s v="Défaut de maintenance préventive"/>
    <n v="0"/>
    <n v="49621"/>
    <x v="0"/>
    <s v="Production"/>
    <n v="96"/>
    <n v="8"/>
  </r>
  <r>
    <s v="QHSE-2026-453"/>
    <s v="2026-08-25"/>
    <x v="7"/>
    <x v="3"/>
    <x v="5"/>
    <x v="4"/>
    <n v="2"/>
    <s v="Manque de formation / Sensibilisation"/>
    <n v="0"/>
    <n v="90130"/>
    <x v="1"/>
    <s v="Maintenance"/>
    <n v="68"/>
    <n v="8"/>
  </r>
  <r>
    <s v="QHSE-2026-454"/>
    <s v="2026-08-27"/>
    <x v="7"/>
    <x v="2"/>
    <x v="4"/>
    <x v="3"/>
    <n v="2"/>
    <s v="Défaut de maintenance préventive"/>
    <n v="0"/>
    <n v="248929"/>
    <x v="0"/>
    <s v="Ressources Humaines"/>
    <n v="68"/>
    <n v="8"/>
  </r>
  <r>
    <s v="QHSE-2026-455"/>
    <s v="2026-08-27"/>
    <x v="7"/>
    <x v="0"/>
    <x v="3"/>
    <x v="1"/>
    <n v="2"/>
    <s v="Erreur humaine / Inattention"/>
    <n v="0"/>
    <n v="67962"/>
    <x v="0"/>
    <s v="Logistique"/>
    <n v="81"/>
    <n v="8"/>
  </r>
  <r>
    <s v="QHSE-2026-456"/>
    <s v="2026-09-01"/>
    <x v="8"/>
    <x v="3"/>
    <x v="2"/>
    <x v="1"/>
    <n v="1"/>
    <s v="Environnement de travail (Sol glissant, éclairage)"/>
    <n v="0"/>
    <n v="10092"/>
    <x v="0"/>
    <s v="Production"/>
    <n v="83"/>
    <n v="9"/>
  </r>
  <r>
    <s v="QHSE-2026-457"/>
    <s v="2026-09-03"/>
    <x v="8"/>
    <x v="4"/>
    <x v="1"/>
    <x v="3"/>
    <n v="2"/>
    <s v="Défaillance technique / Matériel usé"/>
    <n v="0"/>
    <n v="58832"/>
    <x v="3"/>
    <s v="Logistique"/>
    <n v="69"/>
    <n v="9"/>
  </r>
  <r>
    <s v="QHSE-2026-458"/>
    <s v="2026-09-03"/>
    <x v="8"/>
    <x v="0"/>
    <x v="3"/>
    <x v="5"/>
    <n v="2"/>
    <s v="Environnement de travail (Sol glissant, éclairage)"/>
    <n v="0"/>
    <n v="118356"/>
    <x v="1"/>
    <s v="Production"/>
    <n v="96"/>
    <n v="9"/>
  </r>
  <r>
    <s v="QHSE-2026-459"/>
    <s v="2026-09-03"/>
    <x v="8"/>
    <x v="3"/>
    <x v="5"/>
    <x v="3"/>
    <n v="3"/>
    <s v="Défaut de maintenance préventive"/>
    <n v="0"/>
    <n v="724679"/>
    <x v="3"/>
    <s v="Logistique"/>
    <n v="86"/>
    <n v="9"/>
  </r>
  <r>
    <s v="QHSE-2026-460"/>
    <s v="2026-09-05"/>
    <x v="8"/>
    <x v="4"/>
    <x v="2"/>
    <x v="1"/>
    <n v="2"/>
    <s v="Défaillance technique / Matériel usé"/>
    <n v="0"/>
    <n v="63805"/>
    <x v="2"/>
    <s v="Ressources Humaines"/>
    <n v="70"/>
    <n v="9"/>
  </r>
  <r>
    <s v="QHSE-2026-461"/>
    <s v="2026-09-05"/>
    <x v="8"/>
    <x v="2"/>
    <x v="5"/>
    <x v="5"/>
    <n v="1"/>
    <s v="Non-respect des consignes de sécurité / EPI"/>
    <n v="0"/>
    <n v="10226"/>
    <x v="1"/>
    <s v="Maintenance"/>
    <n v="99"/>
    <n v="9"/>
  </r>
  <r>
    <s v="QHSE-2026-462"/>
    <s v="2026-09-05"/>
    <x v="8"/>
    <x v="2"/>
    <x v="4"/>
    <x v="1"/>
    <n v="1"/>
    <s v="Organisation du travail / Charge"/>
    <n v="0"/>
    <n v="47483"/>
    <x v="1"/>
    <s v="Ressources Humaines"/>
    <n v="86"/>
    <n v="9"/>
  </r>
  <r>
    <s v="QHSE-2026-463"/>
    <s v="2026-09-06"/>
    <x v="8"/>
    <x v="2"/>
    <x v="0"/>
    <x v="4"/>
    <n v="3"/>
    <s v="Environnement de travail (Sol glissant, éclairage)"/>
    <n v="0"/>
    <n v="866444"/>
    <x v="3"/>
    <s v="Service QHSE"/>
    <n v="65"/>
    <n v="9"/>
  </r>
  <r>
    <s v="QHSE-2026-464"/>
    <s v="2026-09-07"/>
    <x v="8"/>
    <x v="0"/>
    <x v="2"/>
    <x v="1"/>
    <n v="1"/>
    <s v="Erreur humaine / Inattention"/>
    <n v="0"/>
    <n v="42367"/>
    <x v="1"/>
    <s v="Maintenance"/>
    <n v="84"/>
    <n v="9"/>
  </r>
  <r>
    <s v="QHSE-2026-465"/>
    <s v="2026-09-07"/>
    <x v="8"/>
    <x v="0"/>
    <x v="4"/>
    <x v="1"/>
    <n v="1"/>
    <s v="Non-respect des consignes de sécurité / EPI"/>
    <n v="0"/>
    <n v="45376"/>
    <x v="1"/>
    <s v="Ressources Humaines"/>
    <n v="86"/>
    <n v="9"/>
  </r>
  <r>
    <s v="QHSE-2026-466"/>
    <s v="2026-09-07"/>
    <x v="8"/>
    <x v="4"/>
    <x v="4"/>
    <x v="1"/>
    <n v="1"/>
    <s v="Organisation du travail / Charge"/>
    <n v="0"/>
    <n v="38001"/>
    <x v="3"/>
    <s v="Service QHSE"/>
    <n v="75"/>
    <n v="9"/>
  </r>
  <r>
    <s v="QHSE-2026-467"/>
    <s v="2026-09-08"/>
    <x v="8"/>
    <x v="0"/>
    <x v="2"/>
    <x v="4"/>
    <n v="2"/>
    <s v="Erreur humaine / Inattention"/>
    <n v="0"/>
    <n v="70880"/>
    <x v="1"/>
    <s v="Production"/>
    <n v="77"/>
    <n v="9"/>
  </r>
  <r>
    <s v="QHSE-2026-468"/>
    <s v="2026-09-09"/>
    <x v="8"/>
    <x v="0"/>
    <x v="5"/>
    <x v="2"/>
    <n v="1"/>
    <s v="Manque de formation / Sensibilisation"/>
    <n v="0"/>
    <n v="25964"/>
    <x v="1"/>
    <s v="Production"/>
    <n v="67"/>
    <n v="9"/>
  </r>
  <r>
    <s v="QHSE-2026-469"/>
    <s v="2026-09-09"/>
    <x v="8"/>
    <x v="2"/>
    <x v="1"/>
    <x v="4"/>
    <n v="2"/>
    <s v="Erreur humaine / Inattention"/>
    <n v="0"/>
    <n v="194629"/>
    <x v="1"/>
    <s v="Logistique"/>
    <n v="73"/>
    <n v="9"/>
  </r>
  <r>
    <s v="QHSE-2026-470"/>
    <s v="2026-09-10"/>
    <x v="8"/>
    <x v="2"/>
    <x v="4"/>
    <x v="5"/>
    <n v="1"/>
    <s v="Défaillance technique / Matériel usé"/>
    <n v="0"/>
    <n v="21213"/>
    <x v="1"/>
    <s v="Maintenance"/>
    <n v="76"/>
    <n v="9"/>
  </r>
  <r>
    <s v="QHSE-2026-471"/>
    <s v="2026-09-10"/>
    <x v="8"/>
    <x v="4"/>
    <x v="3"/>
    <x v="4"/>
    <n v="2"/>
    <s v="Défaillance technique / Matériel usé"/>
    <n v="0"/>
    <n v="187481"/>
    <x v="1"/>
    <s v="Production"/>
    <n v="87"/>
    <n v="9"/>
  </r>
  <r>
    <s v="QHSE-2026-472"/>
    <s v="2026-09-11"/>
    <x v="8"/>
    <x v="0"/>
    <x v="4"/>
    <x v="4"/>
    <n v="3"/>
    <s v="Manque de formation / Sensibilisation"/>
    <n v="0"/>
    <n v="268373"/>
    <x v="1"/>
    <s v="Maintenance"/>
    <n v="78"/>
    <n v="9"/>
  </r>
  <r>
    <s v="QHSE-2026-473"/>
    <s v="2026-09-11"/>
    <x v="8"/>
    <x v="0"/>
    <x v="1"/>
    <x v="1"/>
    <n v="2"/>
    <s v="Non-respect des consignes de sécurité / EPI"/>
    <n v="0"/>
    <n v="111227"/>
    <x v="0"/>
    <s v="Production"/>
    <n v="97"/>
    <n v="9"/>
  </r>
  <r>
    <s v="QHSE-2026-474"/>
    <s v="2026-09-11"/>
    <x v="8"/>
    <x v="1"/>
    <x v="5"/>
    <x v="4"/>
    <n v="3"/>
    <s v="Organisation du travail / Charge"/>
    <n v="0"/>
    <n v="661847"/>
    <x v="1"/>
    <s v="Logistique"/>
    <n v="82"/>
    <n v="9"/>
  </r>
  <r>
    <s v="QHSE-2026-475"/>
    <s v="2026-09-11"/>
    <x v="8"/>
    <x v="2"/>
    <x v="5"/>
    <x v="1"/>
    <n v="1"/>
    <s v="Erreur humaine / Inattention"/>
    <n v="0"/>
    <n v="35283"/>
    <x v="0"/>
    <s v="Ressources Humaines"/>
    <n v="73"/>
    <n v="9"/>
  </r>
  <r>
    <s v="QHSE-2026-476"/>
    <s v="2026-09-11"/>
    <x v="8"/>
    <x v="0"/>
    <x v="3"/>
    <x v="1"/>
    <n v="1"/>
    <s v="Défaillance technique / Matériel usé"/>
    <n v="0"/>
    <n v="33081"/>
    <x v="0"/>
    <s v="Logistique"/>
    <n v="87"/>
    <n v="9"/>
  </r>
  <r>
    <s v="QHSE-2026-477"/>
    <s v="2026-09-13"/>
    <x v="8"/>
    <x v="2"/>
    <x v="4"/>
    <x v="0"/>
    <n v="2"/>
    <s v="Non-respect des consignes de sécurité / EPI"/>
    <n v="11"/>
    <n v="189551"/>
    <x v="1"/>
    <s v="Service QHSE"/>
    <n v="74"/>
    <n v="9"/>
  </r>
  <r>
    <s v="QHSE-2026-478"/>
    <s v="2026-09-14"/>
    <x v="8"/>
    <x v="0"/>
    <x v="5"/>
    <x v="2"/>
    <n v="2"/>
    <s v="Manque de formation / Sensibilisation"/>
    <n v="0"/>
    <n v="51217"/>
    <x v="0"/>
    <s v="Production"/>
    <n v="83"/>
    <n v="9"/>
  </r>
  <r>
    <s v="QHSE-2026-479"/>
    <s v="2026-09-14"/>
    <x v="8"/>
    <x v="0"/>
    <x v="1"/>
    <x v="1"/>
    <n v="2"/>
    <s v="Défaut de maintenance préventive"/>
    <n v="0"/>
    <n v="70188"/>
    <x v="1"/>
    <s v="Service QHSE"/>
    <n v="69"/>
    <n v="9"/>
  </r>
  <r>
    <s v="QHSE-2026-480"/>
    <s v="2026-09-14"/>
    <x v="8"/>
    <x v="2"/>
    <x v="2"/>
    <x v="5"/>
    <n v="1"/>
    <s v="Environnement de travail (Sol glissant, éclairage)"/>
    <n v="0"/>
    <n v="44757"/>
    <x v="1"/>
    <s v="Service QHSE"/>
    <n v="87"/>
    <n v="9"/>
  </r>
  <r>
    <s v="QHSE-2026-481"/>
    <s v="2026-09-14"/>
    <x v="8"/>
    <x v="2"/>
    <x v="0"/>
    <x v="0"/>
    <n v="2"/>
    <s v="Défaut de maintenance préventive"/>
    <n v="13"/>
    <n v="186349"/>
    <x v="1"/>
    <s v="Maintenance"/>
    <n v="94"/>
    <n v="9"/>
  </r>
  <r>
    <s v="QHSE-2026-482"/>
    <s v="2026-09-14"/>
    <x v="8"/>
    <x v="4"/>
    <x v="0"/>
    <x v="1"/>
    <n v="1"/>
    <s v="Défaut de maintenance préventive"/>
    <n v="0"/>
    <n v="14517"/>
    <x v="3"/>
    <s v="Production"/>
    <n v="89"/>
    <n v="9"/>
  </r>
  <r>
    <s v="QHSE-2026-483"/>
    <s v="2026-09-15"/>
    <x v="8"/>
    <x v="2"/>
    <x v="0"/>
    <x v="1"/>
    <n v="1"/>
    <s v="Défaillance technique / Matériel usé"/>
    <n v="0"/>
    <n v="43682"/>
    <x v="1"/>
    <s v="Service QHSE"/>
    <n v="92"/>
    <n v="9"/>
  </r>
  <r>
    <s v="QHSE-2026-484"/>
    <s v="2026-09-16"/>
    <x v="8"/>
    <x v="2"/>
    <x v="4"/>
    <x v="2"/>
    <n v="2"/>
    <s v="Manque de formation / Sensibilisation"/>
    <n v="0"/>
    <n v="98446"/>
    <x v="1"/>
    <s v="Ressources Humaines"/>
    <n v="98"/>
    <n v="9"/>
  </r>
  <r>
    <s v="QHSE-2026-485"/>
    <s v="2026-09-17"/>
    <x v="8"/>
    <x v="1"/>
    <x v="3"/>
    <x v="1"/>
    <n v="2"/>
    <s v="Erreur humaine / Inattention"/>
    <n v="0"/>
    <n v="145651"/>
    <x v="0"/>
    <s v="Service QHSE"/>
    <n v="89"/>
    <n v="9"/>
  </r>
  <r>
    <s v="QHSE-2026-486"/>
    <s v="2026-09-17"/>
    <x v="8"/>
    <x v="0"/>
    <x v="5"/>
    <x v="5"/>
    <n v="1"/>
    <s v="Défaut de maintenance préventive"/>
    <n v="0"/>
    <n v="15807"/>
    <x v="1"/>
    <s v="Ressources Humaines"/>
    <n v="74"/>
    <n v="9"/>
  </r>
  <r>
    <s v="QHSE-2026-487"/>
    <s v="2026-09-19"/>
    <x v="8"/>
    <x v="1"/>
    <x v="2"/>
    <x v="3"/>
    <n v="2"/>
    <s v="Défaut de maintenance préventive"/>
    <n v="0"/>
    <n v="192022"/>
    <x v="1"/>
    <s v="Maintenance"/>
    <n v="78"/>
    <n v="9"/>
  </r>
  <r>
    <s v="QHSE-2026-488"/>
    <s v="2026-09-20"/>
    <x v="8"/>
    <x v="0"/>
    <x v="1"/>
    <x v="3"/>
    <n v="3"/>
    <s v="Organisation du travail / Charge"/>
    <n v="0"/>
    <n v="750140"/>
    <x v="1"/>
    <s v="Service QHSE"/>
    <n v="94"/>
    <n v="9"/>
  </r>
  <r>
    <s v="QHSE-2026-489"/>
    <s v="2026-09-20"/>
    <x v="8"/>
    <x v="3"/>
    <x v="2"/>
    <x v="1"/>
    <n v="2"/>
    <s v="Défaillance technique / Matériel usé"/>
    <n v="0"/>
    <n v="92222"/>
    <x v="0"/>
    <s v="Logistique"/>
    <n v="89"/>
    <n v="9"/>
  </r>
  <r>
    <s v="QHSE-2026-490"/>
    <s v="2026-09-22"/>
    <x v="8"/>
    <x v="0"/>
    <x v="1"/>
    <x v="4"/>
    <n v="2"/>
    <s v="Défaillance technique / Matériel usé"/>
    <n v="0"/>
    <n v="222680"/>
    <x v="0"/>
    <s v="Maintenance"/>
    <n v="78"/>
    <n v="9"/>
  </r>
  <r>
    <s v="QHSE-2026-491"/>
    <s v="2026-09-24"/>
    <x v="8"/>
    <x v="2"/>
    <x v="4"/>
    <x v="5"/>
    <n v="1"/>
    <s v="Erreur humaine / Inattention"/>
    <n v="0"/>
    <n v="26052"/>
    <x v="1"/>
    <s v="Ressources Humaines"/>
    <n v="99"/>
    <n v="9"/>
  </r>
  <r>
    <s v="QHSE-2026-492"/>
    <s v="2026-09-24"/>
    <x v="8"/>
    <x v="0"/>
    <x v="0"/>
    <x v="0"/>
    <n v="4"/>
    <s v="Environnement de travail (Sol glissant, éclairage)"/>
    <n v="9"/>
    <n v="2170060"/>
    <x v="1"/>
    <s v="Maintenance"/>
    <n v="98"/>
    <n v="9"/>
  </r>
  <r>
    <s v="QHSE-2026-493"/>
    <s v="2026-09-25"/>
    <x v="8"/>
    <x v="3"/>
    <x v="4"/>
    <x v="4"/>
    <n v="3"/>
    <s v="Non-respect des consignes de sécurité / EPI"/>
    <n v="0"/>
    <n v="364247"/>
    <x v="1"/>
    <s v="Service QHSE"/>
    <n v="74"/>
    <n v="9"/>
  </r>
  <r>
    <s v="QHSE-2026-494"/>
    <s v="2026-09-25"/>
    <x v="8"/>
    <x v="2"/>
    <x v="3"/>
    <x v="4"/>
    <n v="3"/>
    <s v="Organisation du travail / Charge"/>
    <n v="0"/>
    <n v="449626"/>
    <x v="0"/>
    <s v="Production"/>
    <n v="99"/>
    <n v="9"/>
  </r>
  <r>
    <s v="QHSE-2026-495"/>
    <s v="2026-09-25"/>
    <x v="8"/>
    <x v="2"/>
    <x v="3"/>
    <x v="5"/>
    <n v="1"/>
    <s v="Défaillance technique / Matériel usé"/>
    <n v="0"/>
    <n v="10881"/>
    <x v="1"/>
    <s v="Production"/>
    <n v="75"/>
    <n v="9"/>
  </r>
  <r>
    <s v="QHSE-2026-496"/>
    <s v="2026-09-25"/>
    <x v="8"/>
    <x v="0"/>
    <x v="1"/>
    <x v="1"/>
    <n v="1"/>
    <s v="Organisation du travail / Charge"/>
    <n v="0"/>
    <n v="33330"/>
    <x v="1"/>
    <s v="Ressources Humaines"/>
    <n v="75"/>
    <n v="9"/>
  </r>
  <r>
    <s v="QHSE-2026-497"/>
    <s v="2026-09-25"/>
    <x v="8"/>
    <x v="1"/>
    <x v="5"/>
    <x v="1"/>
    <n v="1"/>
    <s v="Défaillance technique / Matériel usé"/>
    <n v="0"/>
    <n v="43689"/>
    <x v="1"/>
    <s v="Ressources Humaines"/>
    <n v="85"/>
    <n v="9"/>
  </r>
  <r>
    <s v="QHSE-2026-498"/>
    <s v="2026-09-29"/>
    <x v="8"/>
    <x v="0"/>
    <x v="5"/>
    <x v="1"/>
    <n v="1"/>
    <s v="Organisation du travail / Charge"/>
    <n v="0"/>
    <n v="31959"/>
    <x v="1"/>
    <s v="Production"/>
    <n v="85"/>
    <n v="9"/>
  </r>
  <r>
    <s v="QHSE-2026-499"/>
    <s v="2026-09-30"/>
    <x v="8"/>
    <x v="4"/>
    <x v="1"/>
    <x v="1"/>
    <n v="2"/>
    <s v="Manque de formation / Sensibilisation"/>
    <n v="0"/>
    <n v="93854"/>
    <x v="1"/>
    <s v="Ressources Humaines"/>
    <n v="86"/>
    <n v="9"/>
  </r>
  <r>
    <s v="QHSE-2026-500"/>
    <s v="2026-09-30"/>
    <x v="8"/>
    <x v="0"/>
    <x v="3"/>
    <x v="1"/>
    <n v="2"/>
    <s v="Défaut de maintenance préventive"/>
    <n v="0"/>
    <n v="56733"/>
    <x v="1"/>
    <s v="Maintenance"/>
    <n v="71"/>
    <n v="9"/>
  </r>
  <r>
    <m/>
    <s v="2025-10-01"/>
    <x v="9"/>
    <x v="1"/>
    <x v="5"/>
    <x v="0"/>
    <n v="2"/>
    <s v="Environnement de travail (Sol glissant, éclairage)"/>
    <n v="10"/>
    <n v="162036"/>
    <x v="1"/>
    <s v="Service QHSE"/>
    <n v="94"/>
    <n v="10"/>
  </r>
  <r>
    <s v="QHSE-2026-002"/>
    <s v="2025-10-02"/>
    <x v="9"/>
    <x v="0"/>
    <x v="0"/>
    <x v="0"/>
    <n v="2"/>
    <s v="Défaut de maintenance préventive"/>
    <n v="5"/>
    <n v="200145"/>
    <x v="1"/>
    <s v="Maintenance"/>
    <n v="77"/>
    <n v="10"/>
  </r>
  <r>
    <s v="QHSE-2026-003"/>
    <s v="2025-10-02"/>
    <x v="9"/>
    <x v="2"/>
    <x v="5"/>
    <x v="4"/>
    <n v="2"/>
    <s v="Organisation du travail / Charge"/>
    <n v="0"/>
    <n v="161596"/>
    <x v="0"/>
    <s v="Logistique"/>
    <n v="77"/>
    <n v="10"/>
  </r>
  <r>
    <s v="QHSE-2026-004"/>
    <s v="2025-10-02"/>
    <x v="9"/>
    <x v="3"/>
    <x v="5"/>
    <x v="0"/>
    <n v="2"/>
    <s v="Organisation du travail / Charge"/>
    <n v="8"/>
    <n v="160502"/>
    <x v="1"/>
    <s v="Production"/>
    <n v="66"/>
    <n v="10"/>
  </r>
  <r>
    <s v="QHSE-2026-005"/>
    <s v="2025-10-04"/>
    <x v="9"/>
    <x v="2"/>
    <x v="1"/>
    <x v="2"/>
    <n v="1"/>
    <s v="Environnement de travail (Sol glissant, éclairage)"/>
    <n v="0"/>
    <n v="13766"/>
    <x v="0"/>
    <s v="Production"/>
    <n v="66"/>
    <n v="10"/>
  </r>
  <r>
    <s v="QHSE-2026-006"/>
    <s v="2025-10-04"/>
    <x v="9"/>
    <x v="2"/>
    <x v="2"/>
    <x v="1"/>
    <n v="1"/>
    <s v="Organisation du travail / Charge"/>
    <n v="0"/>
    <n v="23746"/>
    <x v="2"/>
    <s v="Logistique"/>
    <n v="90"/>
    <n v="10"/>
  </r>
  <r>
    <s v="QHSE-2026-007"/>
    <s v="2025-10-05"/>
    <x v="9"/>
    <x v="1"/>
    <x v="4"/>
    <x v="0"/>
    <n v="4"/>
    <s v="Environnement de travail (Sol glissant, éclairage)"/>
    <n v="1"/>
    <n v="2129723"/>
    <x v="1"/>
    <s v="Production"/>
    <n v="75"/>
    <n v="10"/>
  </r>
  <r>
    <s v="QHSE-2026-008"/>
    <s v="2025-10-05"/>
    <x v="9"/>
    <x v="2"/>
    <x v="0"/>
    <x v="5"/>
    <n v="2"/>
    <s v="Défaut de maintenance préventive"/>
    <n v="0"/>
    <n v="128145"/>
    <x v="2"/>
    <s v="Ressources Humaines"/>
    <n v="72"/>
    <n v="10"/>
  </r>
  <r>
    <s v="QHSE-2026-009"/>
    <s v="2025-10-06"/>
    <x v="9"/>
    <x v="2"/>
    <x v="1"/>
    <x v="1"/>
    <n v="2"/>
    <s v="Défaillance technique / Matériel usé"/>
    <n v="0"/>
    <n v="209668"/>
    <x v="1"/>
    <s v="Maintenance"/>
    <n v="86"/>
    <n v="10"/>
  </r>
  <r>
    <s v="QHSE-2026-010"/>
    <s v="2025-10-09"/>
    <x v="9"/>
    <x v="3"/>
    <x v="2"/>
    <x v="4"/>
    <n v="2"/>
    <s v="Environnement de travail (Sol glissant, éclairage)"/>
    <n v="0"/>
    <n v="124386"/>
    <x v="0"/>
    <s v="Service QHSE"/>
    <n v="84"/>
    <n v="10"/>
  </r>
  <r>
    <s v="QHSE-2026-011"/>
    <s v="2025-10-09"/>
    <x v="9"/>
    <x v="2"/>
    <x v="4"/>
    <x v="5"/>
    <n v="2"/>
    <s v="Manque de formation / Sensibilisation"/>
    <n v="0"/>
    <n v="140339"/>
    <x v="1"/>
    <s v="Logistique"/>
    <n v="72"/>
    <n v="10"/>
  </r>
  <r>
    <s v="QHSE-2026-012"/>
    <s v="2025-10-10"/>
    <x v="9"/>
    <x v="3"/>
    <x v="4"/>
    <x v="1"/>
    <n v="2"/>
    <s v="Organisation du travail / Charge"/>
    <n v="0"/>
    <n v="129476"/>
    <x v="1"/>
    <s v="Ressources Humaines"/>
    <n v="93"/>
    <n v="10"/>
  </r>
  <r>
    <s v="QHSE-2026-013"/>
    <s v="2025-10-13"/>
    <x v="9"/>
    <x v="4"/>
    <x v="1"/>
    <x v="5"/>
    <n v="2"/>
    <s v="Environnement de travail (Sol glissant, éclairage)"/>
    <n v="0"/>
    <n v="68681"/>
    <x v="1"/>
    <s v="Service QHSE"/>
    <n v="90"/>
    <n v="10"/>
  </r>
  <r>
    <s v="QHSE-2026-014"/>
    <s v="2025-10-13"/>
    <x v="9"/>
    <x v="0"/>
    <x v="3"/>
    <x v="4"/>
    <n v="3"/>
    <s v="Environnement de travail (Sol glissant, éclairage)"/>
    <n v="0"/>
    <n v="580804"/>
    <x v="1"/>
    <s v="Service QHSE"/>
    <n v="94"/>
    <n v="10"/>
  </r>
  <r>
    <s v="QHSE-2026-015"/>
    <s v="2025-10-14"/>
    <x v="9"/>
    <x v="0"/>
    <x v="0"/>
    <x v="2"/>
    <n v="1"/>
    <s v="Défaut de maintenance préventive"/>
    <n v="0"/>
    <n v="17824"/>
    <x v="1"/>
    <s v="Logistique"/>
    <n v="81"/>
    <n v="10"/>
  </r>
  <r>
    <s v="QHSE-2026-016"/>
    <s v="2025-10-15"/>
    <x v="9"/>
    <x v="0"/>
    <x v="4"/>
    <x v="4"/>
    <n v="3"/>
    <s v="Organisation du travail / Charge"/>
    <n v="0"/>
    <n v="390042"/>
    <x v="1"/>
    <s v="Ressources Humaines"/>
    <n v="84"/>
    <n v="10"/>
  </r>
  <r>
    <s v="QHSE-2026-017"/>
    <s v="2025-10-15"/>
    <x v="9"/>
    <x v="0"/>
    <x v="1"/>
    <x v="4"/>
    <n v="3"/>
    <s v="Défaillance technique / Matériel usé"/>
    <n v="0"/>
    <n v="320527"/>
    <x v="1"/>
    <s v="Service QHSE"/>
    <n v="80"/>
    <n v="10"/>
  </r>
  <r>
    <s v="QHSE-2026-018"/>
    <s v="2025-10-16"/>
    <x v="9"/>
    <x v="0"/>
    <x v="1"/>
    <x v="5"/>
    <n v="2"/>
    <s v="Défaut de maintenance préventive"/>
    <n v="0"/>
    <n v="121334"/>
    <x v="2"/>
    <s v="Service QHSE"/>
    <n v="71"/>
    <n v="10"/>
  </r>
  <r>
    <s v="QHSE-2026-019"/>
    <s v="2025-10-17"/>
    <x v="9"/>
    <x v="1"/>
    <x v="2"/>
    <x v="1"/>
    <n v="1"/>
    <s v="Défaillance technique / Matériel usé"/>
    <n v="0"/>
    <n v="40299"/>
    <x v="0"/>
    <s v="Ressources Humaines"/>
    <n v="80"/>
    <n v="10"/>
  </r>
  <r>
    <s v="QHSE-2026-020"/>
    <s v="2025-10-18"/>
    <x v="9"/>
    <x v="0"/>
    <x v="3"/>
    <x v="3"/>
    <n v="1"/>
    <s v="Défaut de maintenance préventive"/>
    <n v="0"/>
    <n v="21057"/>
    <x v="1"/>
    <s v="Production"/>
    <n v="91"/>
    <n v="10"/>
  </r>
  <r>
    <s v="QHSE-2026-021"/>
    <s v="2025-10-20"/>
    <x v="9"/>
    <x v="0"/>
    <x v="0"/>
    <x v="0"/>
    <n v="4"/>
    <s v="Organisation du travail / Charge"/>
    <n v="3"/>
    <n v="2249396"/>
    <x v="1"/>
    <s v="Service QHSE"/>
    <n v="87"/>
    <n v="10"/>
  </r>
  <r>
    <s v="QHSE-2026-022"/>
    <s v="2025-10-21"/>
    <x v="9"/>
    <x v="4"/>
    <x v="5"/>
    <x v="0"/>
    <n v="4"/>
    <s v="Non-respect des consignes de sécurité / EPI"/>
    <n v="3"/>
    <n v="3570698"/>
    <x v="2"/>
    <s v="Maintenance"/>
    <n v="88"/>
    <n v="10"/>
  </r>
  <r>
    <s v="QHSE-2026-023"/>
    <s v="2025-10-21"/>
    <x v="9"/>
    <x v="0"/>
    <x v="2"/>
    <x v="2"/>
    <n v="1"/>
    <s v="Organisation du travail / Charge"/>
    <n v="0"/>
    <n v="17833"/>
    <x v="2"/>
    <s v="Ressources Humaines"/>
    <n v="73"/>
    <n v="10"/>
  </r>
  <r>
    <s v="QHSE-2026-024"/>
    <s v="2025-10-22"/>
    <x v="9"/>
    <x v="4"/>
    <x v="4"/>
    <x v="2"/>
    <n v="1"/>
    <s v="Organisation du travail / Charge"/>
    <n v="0"/>
    <n v="45878"/>
    <x v="0"/>
    <s v="Service QHSE"/>
    <n v="99"/>
    <n v="10"/>
  </r>
  <r>
    <s v="QHSE-2026-025"/>
    <s v="2025-10-22"/>
    <x v="9"/>
    <x v="0"/>
    <x v="4"/>
    <x v="0"/>
    <n v="2"/>
    <s v="Défaillance technique / Matériel usé"/>
    <n v="9"/>
    <n v="154038"/>
    <x v="1"/>
    <s v="Logistique"/>
    <n v="84"/>
    <n v="10"/>
  </r>
  <r>
    <s v="QHSE-2026-026"/>
    <s v="2025-10-23"/>
    <x v="9"/>
    <x v="0"/>
    <x v="2"/>
    <x v="3"/>
    <n v="2"/>
    <s v="Défaillance technique / Matériel usé"/>
    <n v="0"/>
    <n v="139520"/>
    <x v="1"/>
    <s v="Maintenance"/>
    <n v="81"/>
    <n v="10"/>
  </r>
  <r>
    <s v="QHSE-2026-027"/>
    <s v="2025-10-26"/>
    <x v="9"/>
    <x v="1"/>
    <x v="1"/>
    <x v="0"/>
    <n v="3"/>
    <s v="Organisation du travail / Charge"/>
    <n v="5"/>
    <n v="668365"/>
    <x v="1"/>
    <s v="Service QHSE"/>
    <n v="95"/>
    <n v="10"/>
  </r>
  <r>
    <s v="QHSE-2026-028"/>
    <s v="2025-10-27"/>
    <x v="9"/>
    <x v="1"/>
    <x v="4"/>
    <x v="1"/>
    <n v="1"/>
    <s v="Organisation du travail / Charge"/>
    <n v="0"/>
    <n v="16641"/>
    <x v="1"/>
    <s v="Maintenance"/>
    <n v="72"/>
    <n v="10"/>
  </r>
  <r>
    <s v="QHSE-2026-029"/>
    <s v="2025-10-28"/>
    <x v="9"/>
    <x v="4"/>
    <x v="3"/>
    <x v="3"/>
    <n v="1"/>
    <s v="Organisation du travail / Charge"/>
    <n v="0"/>
    <n v="34538"/>
    <x v="0"/>
    <s v="Maintenance"/>
    <n v="79"/>
    <n v="10"/>
  </r>
  <r>
    <s v="QHSE-2026-030"/>
    <s v="2025-10-28"/>
    <x v="9"/>
    <x v="1"/>
    <x v="0"/>
    <x v="2"/>
    <n v="1"/>
    <s v="Défaillance technique / Matériel usé"/>
    <n v="0"/>
    <n v="24524"/>
    <x v="0"/>
    <s v="Production"/>
    <n v="95"/>
    <n v="10"/>
  </r>
  <r>
    <s v="QHSE-2026-031"/>
    <s v="2025-10-29"/>
    <x v="9"/>
    <x v="4"/>
    <x v="3"/>
    <x v="1"/>
    <n v="1"/>
    <s v="Organisation du travail / Charge"/>
    <n v="0"/>
    <n v="45887"/>
    <x v="1"/>
    <s v="Maintenance"/>
    <n v="94"/>
    <n v="10"/>
  </r>
  <r>
    <s v="QHSE-2026-032"/>
    <s v="2025-11-02"/>
    <x v="10"/>
    <x v="0"/>
    <x v="4"/>
    <x v="5"/>
    <n v="1"/>
    <s v="Organisation du travail / Charge"/>
    <n v="0"/>
    <n v="16754"/>
    <x v="2"/>
    <s v="Production"/>
    <n v="84"/>
    <n v="11"/>
  </r>
  <r>
    <s v="QHSE-2026-033"/>
    <s v="2025-11-02"/>
    <x v="10"/>
    <x v="0"/>
    <x v="5"/>
    <x v="1"/>
    <n v="2"/>
    <s v="Erreur humaine / Inattention"/>
    <n v="0"/>
    <n v="151410"/>
    <x v="1"/>
    <s v="Ressources Humaines"/>
    <n v="76"/>
    <n v="11"/>
  </r>
  <r>
    <s v="QHSE-2026-034"/>
    <s v="2025-11-04"/>
    <x v="10"/>
    <x v="1"/>
    <x v="0"/>
    <x v="1"/>
    <n v="2"/>
    <s v="Non-respect des consignes de sécurité / EPI"/>
    <n v="0"/>
    <n v="169622"/>
    <x v="1"/>
    <s v="Production"/>
    <n v="81"/>
    <n v="11"/>
  </r>
  <r>
    <s v="QHSE-2026-035"/>
    <s v="2025-11-04"/>
    <x v="10"/>
    <x v="4"/>
    <x v="0"/>
    <x v="2"/>
    <n v="1"/>
    <s v="Manque de formation / Sensibilisation"/>
    <n v="0"/>
    <n v="11335"/>
    <x v="1"/>
    <s v="Logistique"/>
    <n v="94"/>
    <n v="11"/>
  </r>
  <r>
    <s v="QHSE-2026-036"/>
    <s v="2025-11-04"/>
    <x v="10"/>
    <x v="3"/>
    <x v="2"/>
    <x v="2"/>
    <n v="1"/>
    <s v="Non-respect des consignes de sécurité / EPI"/>
    <n v="0"/>
    <n v="24547"/>
    <x v="3"/>
    <s v="Service QHSE"/>
    <n v="93"/>
    <n v="11"/>
  </r>
  <r>
    <s v="QHSE-2026-037"/>
    <s v="2025-11-05"/>
    <x v="10"/>
    <x v="2"/>
    <x v="2"/>
    <x v="4"/>
    <n v="2"/>
    <s v="Erreur humaine / Inattention"/>
    <n v="0"/>
    <n v="196527"/>
    <x v="1"/>
    <s v="Ressources Humaines"/>
    <n v="83"/>
    <n v="11"/>
  </r>
  <r>
    <s v="QHSE-2026-038"/>
    <s v="2025-11-05"/>
    <x v="10"/>
    <x v="2"/>
    <x v="5"/>
    <x v="1"/>
    <n v="1"/>
    <s v="Manque de formation / Sensibilisation"/>
    <n v="0"/>
    <n v="42815"/>
    <x v="3"/>
    <s v="Ressources Humaines"/>
    <n v="75"/>
    <n v="11"/>
  </r>
  <r>
    <s v="QHSE-2026-039"/>
    <s v="2025-11-06"/>
    <x v="10"/>
    <x v="1"/>
    <x v="1"/>
    <x v="4"/>
    <n v="3"/>
    <s v="Défaut de maintenance préventive"/>
    <n v="0"/>
    <n v="484871"/>
    <x v="2"/>
    <s v="Logistique"/>
    <n v="98"/>
    <n v="11"/>
  </r>
  <r>
    <s v="QHSE-2026-040"/>
    <s v="2025-11-06"/>
    <x v="10"/>
    <x v="0"/>
    <x v="0"/>
    <x v="4"/>
    <n v="2"/>
    <s v="Organisation du travail / Charge"/>
    <n v="0"/>
    <n v="209718"/>
    <x v="1"/>
    <s v="Production"/>
    <n v="71"/>
    <n v="11"/>
  </r>
  <r>
    <s v="QHSE-2026-041"/>
    <s v="2025-11-07"/>
    <x v="10"/>
    <x v="3"/>
    <x v="5"/>
    <x v="5"/>
    <n v="1"/>
    <s v="Erreur humaine / Inattention"/>
    <n v="0"/>
    <n v="48710"/>
    <x v="1"/>
    <s v="Service QHSE"/>
    <n v="98"/>
    <n v="11"/>
  </r>
  <r>
    <s v="QHSE-2026-042"/>
    <s v="2025-11-08"/>
    <x v="10"/>
    <x v="4"/>
    <x v="2"/>
    <x v="4"/>
    <n v="2"/>
    <s v="Défaut de maintenance préventive"/>
    <n v="0"/>
    <n v="221374"/>
    <x v="2"/>
    <s v="Production"/>
    <n v="84"/>
    <n v="11"/>
  </r>
  <r>
    <s v="QHSE-2026-043"/>
    <s v="2025-11-08"/>
    <x v="10"/>
    <x v="2"/>
    <x v="2"/>
    <x v="3"/>
    <n v="1"/>
    <s v="Organisation du travail / Charge"/>
    <n v="0"/>
    <n v="14705"/>
    <x v="1"/>
    <s v="Maintenance"/>
    <n v="88"/>
    <n v="11"/>
  </r>
  <r>
    <s v="QHSE-2026-044"/>
    <s v="2025-11-08"/>
    <x v="10"/>
    <x v="1"/>
    <x v="0"/>
    <x v="0"/>
    <n v="2"/>
    <s v="Défaillance technique / Matériel usé"/>
    <n v="12"/>
    <n v="197946"/>
    <x v="2"/>
    <s v="Production"/>
    <n v="74"/>
    <n v="11"/>
  </r>
  <r>
    <s v="QHSE-2026-045"/>
    <s v="2025-11-10"/>
    <x v="10"/>
    <x v="1"/>
    <x v="3"/>
    <x v="1"/>
    <n v="1"/>
    <s v="Environnement de travail (Sol glissant, éclairage)"/>
    <n v="0"/>
    <n v="22786"/>
    <x v="3"/>
    <s v="Ressources Humaines"/>
    <n v="96"/>
    <n v="11"/>
  </r>
  <r>
    <s v="QHSE-2026-046"/>
    <s v="2025-11-10"/>
    <x v="10"/>
    <x v="0"/>
    <x v="4"/>
    <x v="2"/>
    <n v="2"/>
    <s v="Erreur humaine / Inattention"/>
    <n v="0"/>
    <n v="247683"/>
    <x v="1"/>
    <s v="Service QHSE"/>
    <n v="79"/>
    <n v="11"/>
  </r>
  <r>
    <s v="QHSE-2026-047"/>
    <s v="2025-11-11"/>
    <x v="10"/>
    <x v="4"/>
    <x v="2"/>
    <x v="3"/>
    <n v="2"/>
    <s v="Défaillance technique / Matériel usé"/>
    <n v="0"/>
    <n v="147071"/>
    <x v="1"/>
    <s v="Production"/>
    <n v="84"/>
    <n v="11"/>
  </r>
  <r>
    <s v="QHSE-2026-048"/>
    <s v="2025-11-13"/>
    <x v="10"/>
    <x v="2"/>
    <x v="1"/>
    <x v="1"/>
    <n v="2"/>
    <s v="Erreur humaine / Inattention"/>
    <n v="0"/>
    <n v="74486"/>
    <x v="3"/>
    <s v="Service QHSE"/>
    <n v="67"/>
    <n v="11"/>
  </r>
  <r>
    <s v="QHSE-2026-049"/>
    <s v="2025-11-13"/>
    <x v="10"/>
    <x v="4"/>
    <x v="1"/>
    <x v="1"/>
    <n v="1"/>
    <s v="Erreur humaine / Inattention"/>
    <n v="0"/>
    <n v="39007"/>
    <x v="0"/>
    <s v="Service QHSE"/>
    <n v="72"/>
    <n v="11"/>
  </r>
  <r>
    <s v="QHSE-2026-050"/>
    <s v="2025-11-14"/>
    <x v="10"/>
    <x v="0"/>
    <x v="2"/>
    <x v="1"/>
    <n v="1"/>
    <s v="Défaillance technique / Matériel usé"/>
    <n v="0"/>
    <n v="22920"/>
    <x v="1"/>
    <s v="Maintenance"/>
    <n v="87"/>
    <n v="11"/>
  </r>
  <r>
    <s v="QHSE-2026-051"/>
    <s v="2025-11-15"/>
    <x v="10"/>
    <x v="4"/>
    <x v="3"/>
    <x v="1"/>
    <n v="2"/>
    <s v="Manque de formation / Sensibilisation"/>
    <n v="0"/>
    <n v="249415"/>
    <x v="1"/>
    <s v="Maintenance"/>
    <n v="75"/>
    <n v="11"/>
  </r>
  <r>
    <s v="QHSE-2026-052"/>
    <s v="2025-11-16"/>
    <x v="10"/>
    <x v="2"/>
    <x v="3"/>
    <x v="3"/>
    <n v="2"/>
    <s v="Non-respect des consignes de sécurité / EPI"/>
    <n v="0"/>
    <n v="245956"/>
    <x v="1"/>
    <s v="Ressources Humaines"/>
    <n v="72"/>
    <n v="11"/>
  </r>
  <r>
    <s v="QHSE-2026-053"/>
    <s v="2025-11-16"/>
    <x v="10"/>
    <x v="0"/>
    <x v="5"/>
    <x v="3"/>
    <n v="2"/>
    <s v="Organisation du travail / Charge"/>
    <n v="0"/>
    <n v="181226"/>
    <x v="3"/>
    <s v="Logistique"/>
    <n v="93"/>
    <n v="11"/>
  </r>
  <r>
    <s v="QHSE-2026-054"/>
    <s v="2025-11-17"/>
    <x v="10"/>
    <x v="4"/>
    <x v="1"/>
    <x v="2"/>
    <n v="2"/>
    <s v="Erreur humaine / Inattention"/>
    <n v="0"/>
    <n v="75965"/>
    <x v="2"/>
    <s v="Service QHSE"/>
    <n v="94"/>
    <n v="11"/>
  </r>
  <r>
    <s v="QHSE-2026-055"/>
    <s v="2025-11-17"/>
    <x v="10"/>
    <x v="0"/>
    <x v="5"/>
    <x v="0"/>
    <n v="3"/>
    <s v="Organisation du travail / Charge"/>
    <n v="9"/>
    <n v="765145"/>
    <x v="0"/>
    <s v="Logistique"/>
    <n v="74"/>
    <n v="11"/>
  </r>
  <r>
    <s v="QHSE-2026-056"/>
    <s v="2025-11-18"/>
    <x v="10"/>
    <x v="0"/>
    <x v="1"/>
    <x v="4"/>
    <n v="3"/>
    <s v="Environnement de travail (Sol glissant, éclairage)"/>
    <n v="0"/>
    <n v="319772"/>
    <x v="1"/>
    <s v="Ressources Humaines"/>
    <n v="92"/>
    <n v="11"/>
  </r>
  <r>
    <s v="QHSE-2026-057"/>
    <s v="2025-11-18"/>
    <x v="10"/>
    <x v="3"/>
    <x v="4"/>
    <x v="1"/>
    <n v="1"/>
    <s v="Défaillance technique / Matériel usé"/>
    <n v="0"/>
    <n v="11174"/>
    <x v="1"/>
    <s v="Service QHSE"/>
    <n v="77"/>
    <n v="11"/>
  </r>
  <r>
    <s v="QHSE-2026-058"/>
    <s v="2025-11-19"/>
    <x v="10"/>
    <x v="3"/>
    <x v="4"/>
    <x v="5"/>
    <n v="1"/>
    <s v="Organisation du travail / Charge"/>
    <n v="0"/>
    <n v="42918"/>
    <x v="2"/>
    <s v="Service QHSE"/>
    <n v="96"/>
    <n v="11"/>
  </r>
  <r>
    <s v="QHSE-2026-059"/>
    <s v="2025-11-20"/>
    <x v="10"/>
    <x v="2"/>
    <x v="0"/>
    <x v="0"/>
    <n v="2"/>
    <s v="Défaillance technique / Matériel usé"/>
    <n v="13"/>
    <n v="91950"/>
    <x v="1"/>
    <s v="Logistique"/>
    <n v="90"/>
    <n v="11"/>
  </r>
  <r>
    <s v="QHSE-2026-060"/>
    <s v="2025-11-20"/>
    <x v="10"/>
    <x v="1"/>
    <x v="5"/>
    <x v="5"/>
    <n v="2"/>
    <s v="Organisation du travail / Charge"/>
    <n v="0"/>
    <n v="125805"/>
    <x v="1"/>
    <s v="Production"/>
    <n v="86"/>
    <n v="11"/>
  </r>
  <r>
    <s v="QHSE-2026-061"/>
    <s v="2025-11-20"/>
    <x v="10"/>
    <x v="2"/>
    <x v="2"/>
    <x v="2"/>
    <n v="2"/>
    <s v="Non-respect des consignes de sécurité / EPI"/>
    <n v="0"/>
    <n v="244691"/>
    <x v="1"/>
    <s v="Maintenance"/>
    <n v="68"/>
    <n v="11"/>
  </r>
  <r>
    <s v="QHSE-2026-062"/>
    <s v="2025-11-21"/>
    <x v="10"/>
    <x v="0"/>
    <x v="5"/>
    <x v="2"/>
    <n v="2"/>
    <s v="Non-respect des consignes de sécurité / EPI"/>
    <n v="0"/>
    <n v="117368"/>
    <x v="0"/>
    <s v="Production"/>
    <n v="95"/>
    <n v="11"/>
  </r>
  <r>
    <s v="QHSE-2026-063"/>
    <s v="2025-11-21"/>
    <x v="10"/>
    <x v="0"/>
    <x v="2"/>
    <x v="2"/>
    <n v="2"/>
    <s v="Non-respect des consignes de sécurité / EPI"/>
    <n v="0"/>
    <n v="109297"/>
    <x v="3"/>
    <s v="Logistique"/>
    <n v="82"/>
    <n v="11"/>
  </r>
  <r>
    <s v="QHSE-2026-064"/>
    <s v="2025-11-22"/>
    <x v="10"/>
    <x v="1"/>
    <x v="3"/>
    <x v="1"/>
    <n v="2"/>
    <s v="Non-respect des consignes de sécurité / EPI"/>
    <n v="0"/>
    <n v="233641"/>
    <x v="1"/>
    <s v="Maintenance"/>
    <n v="88"/>
    <n v="11"/>
  </r>
  <r>
    <s v="QHSE-2026-065"/>
    <s v="2025-11-22"/>
    <x v="10"/>
    <x v="1"/>
    <x v="5"/>
    <x v="5"/>
    <n v="2"/>
    <s v="Non-respect des consignes de sécurité / EPI"/>
    <n v="0"/>
    <n v="72149"/>
    <x v="1"/>
    <s v="Production"/>
    <n v="87"/>
    <n v="11"/>
  </r>
  <r>
    <s v="QHSE-2026-066"/>
    <s v="2025-11-22"/>
    <x v="10"/>
    <x v="1"/>
    <x v="3"/>
    <x v="0"/>
    <n v="2"/>
    <s v="Non-respect des consignes de sécurité / EPI"/>
    <n v="9"/>
    <n v="201916"/>
    <x v="0"/>
    <s v="Maintenance"/>
    <n v="86"/>
    <n v="11"/>
  </r>
  <r>
    <s v="QHSE-2026-067"/>
    <s v="2025-11-22"/>
    <x v="10"/>
    <x v="1"/>
    <x v="4"/>
    <x v="0"/>
    <n v="2"/>
    <s v="Défaillance technique / Matériel usé"/>
    <n v="1"/>
    <n v="247613"/>
    <x v="3"/>
    <s v="Service QHSE"/>
    <n v="66"/>
    <n v="11"/>
  </r>
  <r>
    <s v="QHSE-2026-068"/>
    <s v="2025-11-23"/>
    <x v="10"/>
    <x v="0"/>
    <x v="4"/>
    <x v="3"/>
    <n v="2"/>
    <s v="Erreur humaine / Inattention"/>
    <n v="0"/>
    <n v="230259"/>
    <x v="1"/>
    <s v="Production"/>
    <n v="95"/>
    <n v="11"/>
  </r>
  <r>
    <s v="QHSE-2026-069"/>
    <s v="2025-11-23"/>
    <x v="10"/>
    <x v="2"/>
    <x v="0"/>
    <x v="3"/>
    <n v="1"/>
    <s v="Organisation du travail / Charge"/>
    <n v="0"/>
    <n v="36066"/>
    <x v="1"/>
    <s v="Maintenance"/>
    <n v="75"/>
    <n v="11"/>
  </r>
  <r>
    <s v="QHSE-2026-070"/>
    <s v="2025-11-23"/>
    <x v="10"/>
    <x v="0"/>
    <x v="5"/>
    <x v="1"/>
    <n v="2"/>
    <s v="Non-respect des consignes de sécurité / EPI"/>
    <n v="0"/>
    <n v="112812"/>
    <x v="1"/>
    <s v="Maintenance"/>
    <n v="92"/>
    <n v="11"/>
  </r>
  <r>
    <s v="QHSE-2026-071"/>
    <s v="2025-11-23"/>
    <x v="10"/>
    <x v="2"/>
    <x v="3"/>
    <x v="3"/>
    <n v="1"/>
    <s v="Défaillance technique / Matériel usé"/>
    <n v="0"/>
    <n v="20172"/>
    <x v="2"/>
    <s v="Maintenance"/>
    <n v="96"/>
    <n v="11"/>
  </r>
  <r>
    <s v="QHSE-2026-072"/>
    <s v="2025-11-23"/>
    <x v="10"/>
    <x v="2"/>
    <x v="2"/>
    <x v="2"/>
    <n v="2"/>
    <s v="Défaillance technique / Matériel usé"/>
    <n v="0"/>
    <n v="213851"/>
    <x v="1"/>
    <s v="Production"/>
    <n v="69"/>
    <n v="11"/>
  </r>
  <r>
    <s v="QHSE-2026-073"/>
    <s v="2025-11-24"/>
    <x v="10"/>
    <x v="4"/>
    <x v="4"/>
    <x v="0"/>
    <n v="2"/>
    <s v="Défaillance technique / Matériel usé"/>
    <n v="2"/>
    <n v="225964"/>
    <x v="1"/>
    <s v="Ressources Humaines"/>
    <n v="74"/>
    <n v="11"/>
  </r>
  <r>
    <s v="QHSE-2026-074"/>
    <s v="2025-11-27"/>
    <x v="10"/>
    <x v="2"/>
    <x v="4"/>
    <x v="5"/>
    <n v="1"/>
    <s v="Erreur humaine / Inattention"/>
    <n v="0"/>
    <n v="31017"/>
    <x v="0"/>
    <s v="Production"/>
    <n v="88"/>
    <n v="11"/>
  </r>
  <r>
    <s v="QHSE-2026-075"/>
    <s v="2025-11-27"/>
    <x v="10"/>
    <x v="0"/>
    <x v="2"/>
    <x v="2"/>
    <n v="2"/>
    <s v="Organisation du travail / Charge"/>
    <n v="0"/>
    <n v="98867"/>
    <x v="0"/>
    <s v="Logistique"/>
    <n v="99"/>
    <n v="11"/>
  </r>
  <r>
    <s v="QHSE-2026-076"/>
    <s v="2025-11-27"/>
    <x v="10"/>
    <x v="0"/>
    <x v="3"/>
    <x v="1"/>
    <n v="2"/>
    <s v="Erreur humaine / Inattention"/>
    <n v="0"/>
    <n v="72588"/>
    <x v="1"/>
    <s v="Production"/>
    <n v="87"/>
    <n v="11"/>
  </r>
  <r>
    <s v="QHSE-2026-077"/>
    <s v="2025-11-27"/>
    <x v="10"/>
    <x v="1"/>
    <x v="3"/>
    <x v="3"/>
    <n v="3"/>
    <s v="Manque de formation / Sensibilisation"/>
    <n v="0"/>
    <n v="315384"/>
    <x v="2"/>
    <s v="Maintenance"/>
    <n v="81"/>
    <n v="11"/>
  </r>
  <r>
    <s v="QHSE-2026-078"/>
    <s v="2025-11-28"/>
    <x v="10"/>
    <x v="1"/>
    <x v="5"/>
    <x v="2"/>
    <n v="1"/>
    <s v="Défaut de maintenance préventive"/>
    <n v="0"/>
    <n v="38763"/>
    <x v="1"/>
    <s v="Service QHSE"/>
    <n v="65"/>
    <n v="11"/>
  </r>
  <r>
    <s v="QHSE-2026-079"/>
    <s v="2025-11-29"/>
    <x v="10"/>
    <x v="0"/>
    <x v="5"/>
    <x v="2"/>
    <n v="2"/>
    <s v="Défaillance technique / Matériel usé"/>
    <n v="0"/>
    <n v="134023"/>
    <x v="1"/>
    <s v="Production"/>
    <n v="95"/>
    <n v="11"/>
  </r>
  <r>
    <s v="QHSE-2026-080"/>
    <s v="2025-11-29"/>
    <x v="10"/>
    <x v="0"/>
    <x v="1"/>
    <x v="1"/>
    <n v="1"/>
    <s v="Manque de formation / Sensibilisation"/>
    <n v="0"/>
    <n v="46214"/>
    <x v="1"/>
    <s v="Production"/>
    <n v="95"/>
    <n v="11"/>
  </r>
  <r>
    <s v="QHSE-2026-081"/>
    <s v="2025-12-01"/>
    <x v="11"/>
    <x v="1"/>
    <x v="1"/>
    <x v="4"/>
    <n v="3"/>
    <s v="Environnement de travail (Sol glissant, éclairage)"/>
    <n v="0"/>
    <n v="804753"/>
    <x v="0"/>
    <s v="Maintenance"/>
    <n v="98"/>
    <n v="12"/>
  </r>
  <r>
    <s v="QHSE-2026-082"/>
    <s v="2025-12-01"/>
    <x v="11"/>
    <x v="0"/>
    <x v="0"/>
    <x v="0"/>
    <n v="3"/>
    <s v="Non-respect des consignes de sécurité / EPI"/>
    <n v="5"/>
    <n v="393445"/>
    <x v="1"/>
    <s v="Service QHSE"/>
    <n v="73"/>
    <n v="12"/>
  </r>
  <r>
    <s v="QHSE-2026-083"/>
    <s v="2025-12-02"/>
    <x v="11"/>
    <x v="4"/>
    <x v="4"/>
    <x v="5"/>
    <n v="2"/>
    <s v="Défaut de maintenance préventive"/>
    <n v="0"/>
    <n v="172755"/>
    <x v="2"/>
    <s v="Service QHSE"/>
    <n v="86"/>
    <n v="12"/>
  </r>
  <r>
    <s v="QHSE-2026-084"/>
    <s v="2025-12-02"/>
    <x v="11"/>
    <x v="1"/>
    <x v="5"/>
    <x v="1"/>
    <n v="2"/>
    <s v="Non-respect des consignes de sécurité / EPI"/>
    <n v="0"/>
    <n v="137101"/>
    <x v="0"/>
    <s v="Logistique"/>
    <n v="77"/>
    <n v="12"/>
  </r>
  <r>
    <s v="QHSE-2026-085"/>
    <s v="2025-12-02"/>
    <x v="11"/>
    <x v="0"/>
    <x v="3"/>
    <x v="4"/>
    <n v="2"/>
    <s v="Erreur humaine / Inattention"/>
    <n v="0"/>
    <n v="165449"/>
    <x v="0"/>
    <s v="Production"/>
    <n v="89"/>
    <n v="12"/>
  </r>
  <r>
    <s v="QHSE-2026-086"/>
    <s v="2025-12-04"/>
    <x v="11"/>
    <x v="0"/>
    <x v="2"/>
    <x v="3"/>
    <n v="3"/>
    <s v="Défaut de maintenance préventive"/>
    <n v="0"/>
    <n v="803551"/>
    <x v="0"/>
    <s v="Service QHSE"/>
    <n v="82"/>
    <n v="12"/>
  </r>
  <r>
    <s v="QHSE-2026-087"/>
    <s v="2025-12-05"/>
    <x v="11"/>
    <x v="3"/>
    <x v="3"/>
    <x v="2"/>
    <n v="1"/>
    <s v="Organisation du travail / Charge"/>
    <n v="0"/>
    <n v="42247"/>
    <x v="0"/>
    <s v="Service QHSE"/>
    <n v="76"/>
    <n v="12"/>
  </r>
  <r>
    <s v="QHSE-2026-088"/>
    <s v="2025-12-07"/>
    <x v="11"/>
    <x v="2"/>
    <x v="4"/>
    <x v="1"/>
    <n v="1"/>
    <s v="Manque de formation / Sensibilisation"/>
    <n v="0"/>
    <n v="43749"/>
    <x v="1"/>
    <s v="Ressources Humaines"/>
    <n v="81"/>
    <n v="12"/>
  </r>
  <r>
    <s v="QHSE-2026-089"/>
    <s v="2025-12-08"/>
    <x v="11"/>
    <x v="2"/>
    <x v="1"/>
    <x v="1"/>
    <n v="1"/>
    <s v="Organisation du travail / Charge"/>
    <n v="0"/>
    <n v="20158"/>
    <x v="1"/>
    <s v="Ressources Humaines"/>
    <n v="79"/>
    <n v="12"/>
  </r>
  <r>
    <s v="QHSE-2026-090"/>
    <s v="2025-12-08"/>
    <x v="11"/>
    <x v="4"/>
    <x v="3"/>
    <x v="0"/>
    <n v="4"/>
    <s v="Erreur humaine / Inattention"/>
    <n v="4"/>
    <n v="1124462"/>
    <x v="3"/>
    <s v="Service QHSE"/>
    <n v="79"/>
    <n v="12"/>
  </r>
  <r>
    <s v="QHSE-2026-091"/>
    <s v="2025-12-11"/>
    <x v="11"/>
    <x v="3"/>
    <x v="0"/>
    <x v="4"/>
    <n v="2"/>
    <s v="Non-respect des consignes de sécurité / EPI"/>
    <n v="0"/>
    <n v="197858"/>
    <x v="1"/>
    <s v="Logistique"/>
    <n v="79"/>
    <n v="12"/>
  </r>
  <r>
    <s v="QHSE-2026-092"/>
    <s v="2025-12-14"/>
    <x v="11"/>
    <x v="3"/>
    <x v="4"/>
    <x v="1"/>
    <n v="2"/>
    <s v="Défaut de maintenance préventive"/>
    <n v="0"/>
    <n v="71268"/>
    <x v="0"/>
    <s v="Service QHSE"/>
    <n v="77"/>
    <n v="12"/>
  </r>
  <r>
    <s v="QHSE-2026-093"/>
    <s v="2025-12-15"/>
    <x v="11"/>
    <x v="1"/>
    <x v="1"/>
    <x v="0"/>
    <n v="4"/>
    <s v="Organisation du travail / Charge"/>
    <n v="10"/>
    <n v="2259678"/>
    <x v="3"/>
    <s v="Maintenance"/>
    <n v="81"/>
    <n v="12"/>
  </r>
  <r>
    <s v="QHSE-2026-094"/>
    <s v="2025-12-20"/>
    <x v="11"/>
    <x v="2"/>
    <x v="2"/>
    <x v="2"/>
    <n v="1"/>
    <s v="Organisation du travail / Charge"/>
    <n v="0"/>
    <n v="10152"/>
    <x v="1"/>
    <s v="Production"/>
    <n v="96"/>
    <n v="12"/>
  </r>
  <r>
    <s v="QHSE-2026-095"/>
    <s v="2025-12-20"/>
    <x v="11"/>
    <x v="0"/>
    <x v="1"/>
    <x v="0"/>
    <n v="4"/>
    <s v="Non-respect des consignes de sécurité / EPI"/>
    <n v="9"/>
    <n v="3726677"/>
    <x v="0"/>
    <s v="Logistique"/>
    <n v="73"/>
    <n v="12"/>
  </r>
  <r>
    <s v="QHSE-2026-096"/>
    <s v="2025-12-20"/>
    <x v="11"/>
    <x v="1"/>
    <x v="0"/>
    <x v="5"/>
    <n v="1"/>
    <s v="Défaut de maintenance préventive"/>
    <n v="0"/>
    <n v="16685"/>
    <x v="1"/>
    <s v="Maintenance"/>
    <n v="84"/>
    <n v="12"/>
  </r>
  <r>
    <s v="QHSE-2026-097"/>
    <s v="2025-12-25"/>
    <x v="11"/>
    <x v="2"/>
    <x v="4"/>
    <x v="1"/>
    <n v="2"/>
    <s v="Manque de formation / Sensibilisation"/>
    <n v="0"/>
    <n v="181056"/>
    <x v="1"/>
    <s v="Logistique"/>
    <n v="90"/>
    <n v="12"/>
  </r>
  <r>
    <s v="QHSE-2026-098"/>
    <s v="2025-12-25"/>
    <x v="11"/>
    <x v="2"/>
    <x v="2"/>
    <x v="1"/>
    <n v="1"/>
    <s v="Non-respect des consignes de sécurité / EPI"/>
    <n v="0"/>
    <n v="49669"/>
    <x v="1"/>
    <s v="Maintenance"/>
    <n v="91"/>
    <n v="12"/>
  </r>
  <r>
    <s v="QHSE-2026-099"/>
    <s v="2025-12-27"/>
    <x v="11"/>
    <x v="4"/>
    <x v="0"/>
    <x v="3"/>
    <n v="3"/>
    <s v="Organisation du travail / Charge"/>
    <n v="0"/>
    <n v="304503"/>
    <x v="1"/>
    <s v="Production"/>
    <n v="85"/>
    <n v="12"/>
  </r>
  <r>
    <s v="QHSE-2026-100"/>
    <s v="2025-12-28"/>
    <x v="11"/>
    <x v="0"/>
    <x v="1"/>
    <x v="3"/>
    <n v="3"/>
    <s v="Manque de formation / Sensibilisation"/>
    <n v="0"/>
    <n v="307808"/>
    <x v="0"/>
    <s v="Production"/>
    <n v="82"/>
    <n v="12"/>
  </r>
  <r>
    <s v="QHSE-2026-101"/>
    <s v="2025-12-28"/>
    <x v="11"/>
    <x v="2"/>
    <x v="0"/>
    <x v="1"/>
    <n v="2"/>
    <s v="Manque de formation / Sensibilisation"/>
    <n v="0"/>
    <n v="118076"/>
    <x v="2"/>
    <s v="Ressources Humaines"/>
    <n v="77"/>
    <n v="12"/>
  </r>
  <r>
    <s v="QHSE-2026-102"/>
    <s v="2025-12-31"/>
    <x v="11"/>
    <x v="0"/>
    <x v="4"/>
    <x v="2"/>
    <n v="1"/>
    <s v="Non-respect des consignes de sécurité / EPI"/>
    <n v="0"/>
    <n v="44655"/>
    <x v="0"/>
    <s v="Maintenance"/>
    <n v="80"/>
    <n v="12"/>
  </r>
  <r>
    <s v="QHSE-2026-103"/>
    <s v="2025-12-31"/>
    <x v="11"/>
    <x v="2"/>
    <x v="5"/>
    <x v="5"/>
    <n v="1"/>
    <s v="Organisation du travail / Charge"/>
    <n v="0"/>
    <n v="18621"/>
    <x v="1"/>
    <s v="Ressources Humaines"/>
    <n v="73"/>
    <n v="12"/>
  </r>
  <r>
    <s v="QHSE-2026-104"/>
    <s v="2025-12-31"/>
    <x v="11"/>
    <x v="0"/>
    <x v="0"/>
    <x v="4"/>
    <n v="3"/>
    <s v="Erreur humaine / Inattention"/>
    <n v="0"/>
    <n v="520283"/>
    <x v="1"/>
    <s v="Maintenance"/>
    <n v="76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A4EE2-4089-4C65-AB17-A4BEF5813A04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5">
  <location ref="A14:B20" firstHeaderRow="1" firstDataRow="1" firstDataCol="1"/>
  <pivotFields count="14">
    <pivotField showAll="0"/>
    <pivotField showAll="0"/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8"/>
        <item m="1" x="22"/>
        <item m="1" x="14"/>
        <item m="1" x="16"/>
        <item m="1" x="15"/>
        <item m="1" x="21"/>
        <item m="1" x="20"/>
        <item m="1" x="17"/>
        <item m="1" x="19"/>
        <item m="1" x="13"/>
        <item m="1" x="12"/>
        <item m="1" x="23"/>
        <item t="default"/>
      </items>
    </pivotField>
    <pivotField axis="axisRow" showAll="0">
      <items count="6">
        <item x="3"/>
        <item x="2"/>
        <item x="1"/>
        <item x="4"/>
        <item x="0"/>
        <item t="default"/>
      </items>
    </pivotField>
    <pivotField showAll="0">
      <items count="7">
        <item x="5"/>
        <item x="3"/>
        <item x="2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aux Moyen de Conformité 5S (%)" fld="12" subtotal="average" baseField="3" baseItem="0"/>
  </dataFields>
  <formats count="1">
    <format dxfId="200">
      <pivotArea collapsedLevelsAreSubtotals="1" fieldPosition="0">
        <references count="1">
          <reference field="3" count="0"/>
        </references>
      </pivotArea>
    </format>
  </formats>
  <chartFormats count="6">
    <chartFormat chart="14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89670-FC0C-41C9-8F1C-22EEC66A2673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6">
  <location ref="G3:H10" firstHeaderRow="1" firstDataRow="1" firstDataCol="1"/>
  <pivotFields count="14">
    <pivotField showAll="0"/>
    <pivotField showAll="0"/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8"/>
        <item m="1" x="22"/>
        <item m="1" x="14"/>
        <item m="1" x="16"/>
        <item m="1" x="15"/>
        <item m="1" x="21"/>
        <item m="1" x="20"/>
        <item m="1" x="17"/>
        <item m="1" x="19"/>
        <item m="1" x="13"/>
        <item m="1" x="12"/>
        <item m="1" x="23"/>
        <item t="default"/>
      </items>
    </pivotField>
    <pivotField showAll="0">
      <items count="6">
        <item x="3"/>
        <item x="2"/>
        <item x="1"/>
        <item x="4"/>
        <item x="0"/>
        <item t="default"/>
      </items>
    </pivotField>
    <pivotField showAll="0">
      <items count="7">
        <item x="5"/>
        <item x="3"/>
        <item x="2"/>
        <item x="4"/>
        <item x="0"/>
        <item x="1"/>
        <item t="default"/>
      </items>
    </pivotField>
    <pivotField axis="axisRow" showAll="0">
      <items count="7">
        <item x="0"/>
        <item x="2"/>
        <item x="4"/>
        <item x="3"/>
        <item x="1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ût Total Estimé (FCFA)" fld="9" baseField="0" baseItem="0"/>
  </dataFields>
  <formats count="1">
    <format dxfId="201">
      <pivotArea collapsedLevelsAreSubtotals="1" fieldPosition="0">
        <references count="1">
          <reference field="5" count="0"/>
        </references>
      </pivotArea>
    </format>
  </formats>
  <chartFormats count="3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539A9-308A-4095-9206-D4F27AB441D8}" name="Tableau croisé dynamique10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D24:D37" firstHeaderRow="1" firstDataRow="1" firstDataCol="1"/>
  <pivotFields count="14"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8"/>
        <item m="1" x="22"/>
        <item m="1" x="14"/>
        <item m="1" x="16"/>
        <item m="1" x="15"/>
        <item m="1" x="21"/>
        <item m="1" x="20"/>
        <item m="1" x="17"/>
        <item m="1" x="19"/>
        <item m="1" x="13"/>
        <item m="1" x="12"/>
        <item m="1" x="23"/>
        <item t="default"/>
      </items>
    </pivotField>
    <pivotField showAll="0">
      <items count="6">
        <item x="3"/>
        <item x="2"/>
        <item x="1"/>
        <item x="4"/>
        <item x="0"/>
        <item t="default"/>
      </items>
    </pivotField>
    <pivotField showAll="0">
      <items count="7">
        <item x="5"/>
        <item x="3"/>
        <item x="2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85B0D-D5A6-47DD-8E1B-6EC5D23B2334}" name="Tableau croisé dynamique8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ustomListSort="0">
  <location ref="A23:B36" firstHeaderRow="1" firstDataRow="1" firstDataCol="1"/>
  <pivotFields count="14">
    <pivotField showAll="0"/>
    <pivotField showAll="0"/>
    <pivotField axis="axisRow" showAll="0" nonAutoSortDefault="1">
      <items count="25">
        <item x="0"/>
        <item m="1" x="18"/>
        <item m="1" x="22"/>
        <item m="1" x="14"/>
        <item m="1" x="16"/>
        <item m="1" x="15"/>
        <item m="1" x="21"/>
        <item m="1" x="20"/>
        <item m="1" x="17"/>
        <item m="1" x="19"/>
        <item m="1" x="13"/>
        <item m="1" x="12"/>
        <item m="1" x="23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6">
        <item x="3"/>
        <item x="2"/>
        <item x="1"/>
        <item x="4"/>
        <item x="0"/>
        <item t="default"/>
      </items>
    </pivotField>
    <pivotField showAll="0">
      <items count="7">
        <item x="5"/>
        <item x="3"/>
        <item x="2"/>
        <item x="4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omme de Jours_Arre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837C7-3CA1-44D3-9305-17F083E512D8}" name="Tableau croisé dynamique9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fieldListSortAscending="1">
  <location ref="C24:C37" firstHeaderRow="1" firstDataRow="1" firstDataCol="1"/>
  <pivotFields count="14">
    <pivotField showAll="0"/>
    <pivotField showAll="0"/>
    <pivotField axis="axisRow" showAll="0" nonAutoSortDefault="1">
      <items count="25">
        <item m="1" x="18"/>
        <item m="1" x="22"/>
        <item m="1" x="14"/>
        <item m="1" x="16"/>
        <item m="1" x="15"/>
        <item m="1" x="21"/>
        <item m="1" x="20"/>
        <item m="1" x="17"/>
        <item m="1" x="19"/>
        <item m="1" x="13"/>
        <item m="1" x="12"/>
        <item m="1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6">
        <item x="3"/>
        <item x="2"/>
        <item x="1"/>
        <item x="4"/>
        <item x="0"/>
        <item t="default"/>
      </items>
    </pivotField>
    <pivotField showAll="0">
      <items count="7">
        <item x="5"/>
        <item x="3"/>
        <item x="2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1F4F8-6ACF-46B3-8A01-74D66DE8F239}" name="Tableau croisé dynamique7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2">
  <location ref="G14:H21" firstHeaderRow="1" firstDataRow="1" firstDataCol="1"/>
  <pivotFields count="14">
    <pivotField showAll="0"/>
    <pivotField showAll="0"/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8"/>
        <item m="1" x="22"/>
        <item m="1" x="14"/>
        <item m="1" x="16"/>
        <item m="1" x="15"/>
        <item m="1" x="21"/>
        <item m="1" x="20"/>
        <item m="1" x="17"/>
        <item m="1" x="19"/>
        <item m="1" x="13"/>
        <item m="1" x="12"/>
        <item m="1" x="23"/>
        <item t="default"/>
      </items>
    </pivotField>
    <pivotField showAll="0">
      <items count="6">
        <item x="3"/>
        <item x="2"/>
        <item x="1"/>
        <item x="4"/>
        <item x="0"/>
        <item t="default"/>
      </items>
    </pivotField>
    <pivotField axis="axisRow" showAll="0">
      <items count="7">
        <item x="5"/>
        <item x="3"/>
        <item x="2"/>
        <item x="4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ombre de Type_Evenement" fld="5" subtotal="count" baseField="0" baseItem="0"/>
  </dataFields>
  <chartFormats count="1">
    <chartFormat chart="1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827BC-E1B2-4D54-A64F-5C88B21EFBCC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9">
  <location ref="C3:D10" firstHeaderRow="1" firstDataRow="1" firstDataCol="1"/>
  <pivotFields count="14">
    <pivotField showAll="0"/>
    <pivotField showAll="0"/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8"/>
        <item m="1" x="22"/>
        <item m="1" x="14"/>
        <item m="1" x="16"/>
        <item m="1" x="15"/>
        <item m="1" x="21"/>
        <item m="1" x="20"/>
        <item m="1" x="17"/>
        <item m="1" x="19"/>
        <item m="1" x="13"/>
        <item m="1" x="12"/>
        <item m="1" x="23"/>
        <item t="default"/>
      </items>
    </pivotField>
    <pivotField showAll="0">
      <items count="6">
        <item x="3"/>
        <item x="2"/>
        <item x="1"/>
        <item x="4"/>
        <item x="0"/>
        <item t="default"/>
      </items>
    </pivotField>
    <pivotField showAll="0">
      <items count="7">
        <item x="5"/>
        <item x="3"/>
        <item x="2"/>
        <item x="4"/>
        <item x="0"/>
        <item x="1"/>
        <item t="default"/>
      </items>
    </pivotField>
    <pivotField axis="axisRow" showAll="0">
      <items count="7">
        <item x="0"/>
        <item x="2"/>
        <item x="4"/>
        <item x="3"/>
        <item x="1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e de Gravite" fld="6" baseField="0" baseItem="0"/>
  </dataFields>
  <formats count="2">
    <format dxfId="203">
      <pivotArea collapsedLevelsAreSubtotals="1" fieldPosition="0">
        <references count="1">
          <reference field="5" count="1">
            <x v="0"/>
          </reference>
        </references>
      </pivotArea>
    </format>
    <format dxfId="202">
      <pivotArea dataOnly="0" labelOnly="1" fieldPosition="0">
        <references count="1">
          <reference field="5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81275-D15E-49B5-9910-2F60847771A2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0:A11" firstHeaderRow="1" firstDataRow="1" firstDataCol="0"/>
  <pivotFields count="14">
    <pivotField showAll="0"/>
    <pivotField showAll="0"/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8"/>
        <item m="1" x="22"/>
        <item m="1" x="14"/>
        <item m="1" x="16"/>
        <item m="1" x="15"/>
        <item m="1" x="21"/>
        <item m="1" x="20"/>
        <item m="1" x="17"/>
        <item m="1" x="19"/>
        <item m="1" x="13"/>
        <item m="1" x="12"/>
        <item m="1" x="23"/>
        <item t="default"/>
      </items>
    </pivotField>
    <pivotField showAll="0">
      <items count="6">
        <item x="3"/>
        <item x="2"/>
        <item x="1"/>
        <item x="4"/>
        <item x="0"/>
        <item t="default"/>
      </items>
    </pivotField>
    <pivotField showAll="0">
      <items count="7">
        <item x="5"/>
        <item x="3"/>
        <item x="2"/>
        <item x="4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Jours d'Arrêt de Travai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19DEE6-CAAD-4655-925A-634F57F11DC5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A4" firstHeaderRow="1" firstDataRow="1" firstDataCol="0"/>
  <pivotFields count="14">
    <pivotField showAll="0"/>
    <pivotField showAll="0"/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8"/>
        <item m="1" x="22"/>
        <item m="1" x="14"/>
        <item m="1" x="16"/>
        <item m="1" x="15"/>
        <item m="1" x="21"/>
        <item m="1" x="20"/>
        <item m="1" x="17"/>
        <item m="1" x="19"/>
        <item m="1" x="13"/>
        <item m="1" x="12"/>
        <item m="1" x="23"/>
        <item t="default"/>
      </items>
    </pivotField>
    <pivotField showAll="0">
      <items count="6">
        <item x="3"/>
        <item x="2"/>
        <item x="1"/>
        <item x="4"/>
        <item x="0"/>
        <item t="default"/>
      </items>
    </pivotField>
    <pivotField showAll="0">
      <items count="7">
        <item x="5"/>
        <item x="3"/>
        <item x="2"/>
        <item x="4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des Événements / Incidents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4B68A-F320-4103-B58C-5F8F3C47E6D8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3">
  <location ref="D14:E19" firstHeaderRow="1" firstDataRow="1" firstDataCol="1"/>
  <pivotFields count="14">
    <pivotField showAll="0"/>
    <pivotField showAll="0"/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8"/>
        <item m="1" x="22"/>
        <item m="1" x="14"/>
        <item m="1" x="16"/>
        <item m="1" x="15"/>
        <item m="1" x="21"/>
        <item m="1" x="20"/>
        <item m="1" x="17"/>
        <item m="1" x="19"/>
        <item m="1" x="13"/>
        <item m="1" x="12"/>
        <item m="1" x="23"/>
        <item t="default"/>
      </items>
    </pivotField>
    <pivotField showAll="0">
      <items count="6">
        <item x="3"/>
        <item x="2"/>
        <item x="1"/>
        <item x="4"/>
        <item x="0"/>
        <item t="default"/>
      </items>
    </pivotField>
    <pivotField showAll="0">
      <items count="7">
        <item x="5"/>
        <item x="3"/>
        <item x="2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ombre de Statut_Action" fld="10" subtotal="count" baseField="0" baseItem="0"/>
  </dataFields>
  <chartFormats count="1"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ite" xr10:uid="{68A4B733-0235-49C6-BCBA-730396B79BC4}" sourceName="Site">
  <pivotTables>
    <pivotTable tabId="4" name="Tableau croisé dynamique6"/>
    <pivotTable tabId="4" name="Tableau croisé dynamique1"/>
    <pivotTable tabId="4" name="Tableau croisé dynamique2"/>
    <pivotTable tabId="4" name="Tableau croisé dynamique3"/>
    <pivotTable tabId="4" name="Tableau croisé dynamique4"/>
    <pivotTable tabId="4" name="Tableau croisé dynamique5"/>
    <pivotTable tabId="4" name="Tableau croisé dynamique7"/>
    <pivotTable tabId="4" name="Tableau croisé dynamique8"/>
    <pivotTable tabId="4" name="Tableau croisé dynamique9"/>
    <pivotTable tabId="4" name="Tableau croisé dynamique10"/>
  </pivotTables>
  <data>
    <tabular pivotCacheId="1356392455">
      <items count="5">
        <i x="3" s="1"/>
        <i x="2" s="1"/>
        <i x="1" s="1"/>
        <i x="4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Departement" xr10:uid="{C3D79F19-8E06-4361-A1B8-DAB0F6758316}" sourceName="Departement">
  <pivotTables>
    <pivotTable tabId="4" name="Tableau croisé dynamique7"/>
    <pivotTable tabId="4" name="Tableau croisé dynamique1"/>
    <pivotTable tabId="4" name="Tableau croisé dynamique2"/>
    <pivotTable tabId="4" name="Tableau croisé dynamique3"/>
    <pivotTable tabId="4" name="Tableau croisé dynamique4"/>
    <pivotTable tabId="4" name="Tableau croisé dynamique5"/>
    <pivotTable tabId="4" name="Tableau croisé dynamique6"/>
    <pivotTable tabId="4" name="Tableau croisé dynamique8"/>
    <pivotTable tabId="4" name="Tableau croisé dynamique9"/>
    <pivotTable tabId="4" name="Tableau croisé dynamique10"/>
  </pivotTables>
  <data>
    <tabular pivotCacheId="1356392455">
      <items count="6">
        <i x="5" s="1"/>
        <i x="3" s="1"/>
        <i x="2" s="1"/>
        <i x="4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is" xr10:uid="{F9FC69E9-F3F7-4DB6-97AD-547322059D2E}" sourceName="Mois">
  <pivotTables>
    <pivotTable tabId="4" name="Tableau croisé dynamique8"/>
    <pivotTable tabId="4" name="Tableau croisé dynamique1"/>
    <pivotTable tabId="4" name="Tableau croisé dynamique2"/>
    <pivotTable tabId="4" name="Tableau croisé dynamique3"/>
    <pivotTable tabId="4" name="Tableau croisé dynamique4"/>
    <pivotTable tabId="4" name="Tableau croisé dynamique5"/>
    <pivotTable tabId="4" name="Tableau croisé dynamique6"/>
    <pivotTable tabId="4" name="Tableau croisé dynamique7"/>
    <pivotTable tabId="4" name="Tableau croisé dynamique9"/>
    <pivotTable tabId="4" name="Tableau croisé dynamique10"/>
  </pivotTables>
  <data>
    <tabular pivotCacheId="1356392455">
      <items count="24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8" s="1" nd="1"/>
        <i x="22" s="1" nd="1"/>
        <i x="14" s="1" nd="1"/>
        <i x="16" s="1" nd="1"/>
        <i x="15" s="1" nd="1"/>
        <i x="21" s="1" nd="1"/>
        <i x="20" s="1" nd="1"/>
        <i x="17" s="1" nd="1"/>
        <i x="19" s="1" nd="1"/>
        <i x="13" s="1" nd="1"/>
        <i x="12" s="1" nd="1"/>
        <i x="2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ite 1" xr10:uid="{A6D8E279-4BAA-4682-83A0-58E9F21D4451}" cache="Segment_Site" caption="Site" columnCount="3" style="Style de segment 2" rowHeight="252000"/>
  <slicer name="Departement 1" xr10:uid="{A9904304-2BC4-45A4-A73B-0C3646ACDC89}" cache="Segment_Departement" caption="Departement" columnCount="4" style="Style de segment 2" rowHeight="252000"/>
  <slicer name="Mois 1" xr10:uid="{0E7F667B-472D-448F-B32A-2F1254244DCE}" cache="Segment_Mois" caption="Mois" startItem="8" columnCount="4" style="Style de segment 2" rowHeight="252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493F40-F674-43C5-8516-D4A3AE667461}" name="QHSE" displayName="QHSE" ref="A1:N501" totalsRowShown="0" headerRowDxfId="208" headerRowBorderDxfId="207" tableBorderDxfId="206">
  <autoFilter ref="A1:N501" xr:uid="{00000000-0001-0000-0000-000000000000}"/>
  <sortState xmlns:xlrd2="http://schemas.microsoft.com/office/spreadsheetml/2017/richdata2" ref="A2:N501">
    <sortCondition ref="N1:N501"/>
  </sortState>
  <tableColumns count="14">
    <tableColumn id="1" xr3:uid="{6B74382C-03A4-41A9-BB23-C599FDA42717}" name="ID_Incident"/>
    <tableColumn id="2" xr3:uid="{DBF117E9-9979-4A5D-BDDB-2C3F469C14C6}" name="Date"/>
    <tableColumn id="3" xr3:uid="{4BE8993B-A6E6-4F85-9E07-77C5D0522002}" name="Mois" dataDxfId="205"/>
    <tableColumn id="4" xr3:uid="{A906E7C1-4051-4D02-8F9C-61104A3D85DE}" name="Site"/>
    <tableColumn id="5" xr3:uid="{829D50FF-1C16-40AE-B85D-BCE2FCFCA1ED}" name="Departement"/>
    <tableColumn id="6" xr3:uid="{39A5D636-E814-406D-92AA-463D9B01B5B1}" name="Type_Evenement"/>
    <tableColumn id="7" xr3:uid="{11C4A73E-3905-417E-A91D-08912C9DF5F1}" name="Gravite"/>
    <tableColumn id="8" xr3:uid="{43ABAC90-2982-4480-A08D-2BD3017C0E14}" name="Cause_Racine"/>
    <tableColumn id="9" xr3:uid="{F46A2872-87C7-40D2-A79D-E2363B6C5845}" name="Jours_Arret"/>
    <tableColumn id="10" xr3:uid="{953197A4-1BE3-4F1F-9299-29902D0392AB}" name="Cout_Estime_FCFA"/>
    <tableColumn id="11" xr3:uid="{C49F779D-BBEC-4FBF-B2D2-2DE9A29EB2C2}" name="Statut_Action"/>
    <tableColumn id="12" xr3:uid="{D226348D-524A-4FF6-883A-069772D3C031}" name="Responsable_Traitement"/>
    <tableColumn id="13" xr3:uid="{93917424-2F33-4498-A75B-8B590C6853FF}" name="Score_Audit_5S"/>
    <tableColumn id="14" xr3:uid="{DC402B9B-0199-40BB-97B4-6E0D7E94DF26}" name="N_Mois" dataDxfId="204">
      <calculatedColumnFormula>MONTH(QHSE[[#This Row],[Date]])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N5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.77734375" customWidth="1"/>
    <col min="2" max="2" width="12.44140625" customWidth="1"/>
    <col min="3" max="3" width="11.5546875" style="13" customWidth="1"/>
    <col min="4" max="5" width="14.77734375" customWidth="1"/>
    <col min="6" max="6" width="17.5546875" customWidth="1"/>
    <col min="7" max="7" width="9.21875" customWidth="1"/>
    <col min="8" max="8" width="14.77734375" customWidth="1"/>
    <col min="9" max="9" width="12.109375" customWidth="1"/>
    <col min="10" max="10" width="18.5546875" customWidth="1"/>
    <col min="11" max="11" width="14.77734375" customWidth="1"/>
    <col min="12" max="12" width="23.6640625" customWidth="1"/>
    <col min="13" max="13" width="16.109375" customWidth="1"/>
    <col min="14" max="14" width="9.88671875" customWidth="1"/>
  </cols>
  <sheetData>
    <row r="1" spans="1:14" x14ac:dyDescent="0.3">
      <c r="A1" s="1" t="s">
        <v>0</v>
      </c>
      <c r="B1" s="1" t="s">
        <v>1</v>
      </c>
      <c r="C1" s="1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833</v>
      </c>
    </row>
    <row r="2" spans="1:14" x14ac:dyDescent="0.3">
      <c r="A2" t="s">
        <v>205</v>
      </c>
      <c r="B2" t="s">
        <v>206</v>
      </c>
      <c r="C2" s="13" t="s">
        <v>824</v>
      </c>
      <c r="D2" t="s">
        <v>22</v>
      </c>
      <c r="E2" t="s">
        <v>23</v>
      </c>
      <c r="F2" t="s">
        <v>16</v>
      </c>
      <c r="G2">
        <v>4</v>
      </c>
      <c r="H2" t="s">
        <v>29</v>
      </c>
      <c r="I2">
        <v>7</v>
      </c>
      <c r="J2">
        <v>1274021</v>
      </c>
      <c r="K2" t="s">
        <v>30</v>
      </c>
      <c r="L2" t="s">
        <v>46</v>
      </c>
      <c r="M2">
        <v>83</v>
      </c>
      <c r="N2">
        <f>MONTH(QHSE[[#This Row],[Date]])</f>
        <v>1</v>
      </c>
    </row>
    <row r="3" spans="1:14" x14ac:dyDescent="0.3">
      <c r="A3" t="s">
        <v>207</v>
      </c>
      <c r="B3" t="s">
        <v>208</v>
      </c>
      <c r="C3" s="13" t="s">
        <v>824</v>
      </c>
      <c r="D3" t="s">
        <v>22</v>
      </c>
      <c r="E3" t="s">
        <v>36</v>
      </c>
      <c r="F3" t="s">
        <v>40</v>
      </c>
      <c r="G3">
        <v>2</v>
      </c>
      <c r="H3" t="s">
        <v>49</v>
      </c>
      <c r="I3">
        <v>0</v>
      </c>
      <c r="J3">
        <v>202631</v>
      </c>
      <c r="K3" t="s">
        <v>18</v>
      </c>
      <c r="L3" t="s">
        <v>23</v>
      </c>
      <c r="M3">
        <v>71</v>
      </c>
      <c r="N3">
        <f>MONTH(QHSE[[#This Row],[Date]])</f>
        <v>1</v>
      </c>
    </row>
    <row r="4" spans="1:14" x14ac:dyDescent="0.3">
      <c r="A4" t="s">
        <v>209</v>
      </c>
      <c r="B4" t="s">
        <v>210</v>
      </c>
      <c r="C4" s="13" t="s">
        <v>824</v>
      </c>
      <c r="D4" t="s">
        <v>14</v>
      </c>
      <c r="E4" t="s">
        <v>36</v>
      </c>
      <c r="F4" t="s">
        <v>37</v>
      </c>
      <c r="G4">
        <v>2</v>
      </c>
      <c r="H4" t="s">
        <v>24</v>
      </c>
      <c r="I4">
        <v>0</v>
      </c>
      <c r="J4">
        <v>131661</v>
      </c>
      <c r="K4" t="s">
        <v>41</v>
      </c>
      <c r="L4" t="s">
        <v>31</v>
      </c>
      <c r="M4">
        <v>99</v>
      </c>
      <c r="N4">
        <f>MONTH(QHSE[[#This Row],[Date]])</f>
        <v>1</v>
      </c>
    </row>
    <row r="5" spans="1:14" x14ac:dyDescent="0.3">
      <c r="A5" t="s">
        <v>211</v>
      </c>
      <c r="B5" t="s">
        <v>210</v>
      </c>
      <c r="C5" s="13" t="s">
        <v>824</v>
      </c>
      <c r="D5" t="s">
        <v>14</v>
      </c>
      <c r="E5" t="s">
        <v>39</v>
      </c>
      <c r="F5" t="s">
        <v>72</v>
      </c>
      <c r="G5">
        <v>1</v>
      </c>
      <c r="H5" t="s">
        <v>17</v>
      </c>
      <c r="I5">
        <v>0</v>
      </c>
      <c r="J5">
        <v>40369</v>
      </c>
      <c r="K5" t="s">
        <v>41</v>
      </c>
      <c r="L5" t="s">
        <v>46</v>
      </c>
      <c r="M5">
        <v>82</v>
      </c>
      <c r="N5">
        <f>MONTH(QHSE[[#This Row],[Date]])</f>
        <v>1</v>
      </c>
    </row>
    <row r="6" spans="1:14" x14ac:dyDescent="0.3">
      <c r="A6" t="s">
        <v>212</v>
      </c>
      <c r="B6" t="s">
        <v>210</v>
      </c>
      <c r="C6" s="13" t="s">
        <v>824</v>
      </c>
      <c r="D6" t="s">
        <v>27</v>
      </c>
      <c r="E6" t="s">
        <v>36</v>
      </c>
      <c r="F6" t="s">
        <v>16</v>
      </c>
      <c r="G6">
        <v>2</v>
      </c>
      <c r="H6" t="s">
        <v>96</v>
      </c>
      <c r="I6">
        <v>6</v>
      </c>
      <c r="J6">
        <v>230721</v>
      </c>
      <c r="K6" t="s">
        <v>30</v>
      </c>
      <c r="L6" t="s">
        <v>25</v>
      </c>
      <c r="M6">
        <v>80</v>
      </c>
      <c r="N6">
        <f>MONTH(QHSE[[#This Row],[Date]])</f>
        <v>1</v>
      </c>
    </row>
    <row r="7" spans="1:14" x14ac:dyDescent="0.3">
      <c r="A7" t="s">
        <v>213</v>
      </c>
      <c r="B7" t="s">
        <v>210</v>
      </c>
      <c r="C7" s="13" t="s">
        <v>824</v>
      </c>
      <c r="D7" t="s">
        <v>33</v>
      </c>
      <c r="E7" t="s">
        <v>60</v>
      </c>
      <c r="F7" t="s">
        <v>72</v>
      </c>
      <c r="G7">
        <v>2</v>
      </c>
      <c r="H7" t="s">
        <v>53</v>
      </c>
      <c r="I7">
        <v>0</v>
      </c>
      <c r="J7">
        <v>96552</v>
      </c>
      <c r="K7" t="s">
        <v>101</v>
      </c>
      <c r="L7" t="s">
        <v>25</v>
      </c>
      <c r="M7">
        <v>68</v>
      </c>
      <c r="N7">
        <f>MONTH(QHSE[[#This Row],[Date]])</f>
        <v>1</v>
      </c>
    </row>
    <row r="8" spans="1:14" x14ac:dyDescent="0.3">
      <c r="A8" t="s">
        <v>214</v>
      </c>
      <c r="B8" t="s">
        <v>215</v>
      </c>
      <c r="C8" s="13" t="s">
        <v>824</v>
      </c>
      <c r="D8" t="s">
        <v>27</v>
      </c>
      <c r="E8" t="s">
        <v>25</v>
      </c>
      <c r="F8" t="s">
        <v>16</v>
      </c>
      <c r="G8">
        <v>4</v>
      </c>
      <c r="H8" t="s">
        <v>96</v>
      </c>
      <c r="I8">
        <v>7</v>
      </c>
      <c r="J8">
        <v>4229584</v>
      </c>
      <c r="K8" t="s">
        <v>18</v>
      </c>
      <c r="L8" t="s">
        <v>23</v>
      </c>
      <c r="M8">
        <v>89</v>
      </c>
      <c r="N8">
        <f>MONTH(QHSE[[#This Row],[Date]])</f>
        <v>1</v>
      </c>
    </row>
    <row r="9" spans="1:14" x14ac:dyDescent="0.3">
      <c r="A9" t="s">
        <v>216</v>
      </c>
      <c r="B9" t="s">
        <v>215</v>
      </c>
      <c r="C9" s="13" t="s">
        <v>824</v>
      </c>
      <c r="D9" t="s">
        <v>22</v>
      </c>
      <c r="E9" t="s">
        <v>25</v>
      </c>
      <c r="F9" t="s">
        <v>28</v>
      </c>
      <c r="G9">
        <v>2</v>
      </c>
      <c r="H9" t="s">
        <v>24</v>
      </c>
      <c r="I9">
        <v>0</v>
      </c>
      <c r="J9">
        <v>61818</v>
      </c>
      <c r="K9" t="s">
        <v>30</v>
      </c>
      <c r="L9" t="s">
        <v>25</v>
      </c>
      <c r="M9">
        <v>96</v>
      </c>
      <c r="N9">
        <f>MONTH(QHSE[[#This Row],[Date]])</f>
        <v>1</v>
      </c>
    </row>
    <row r="10" spans="1:14" x14ac:dyDescent="0.3">
      <c r="A10" t="s">
        <v>217</v>
      </c>
      <c r="B10" t="s">
        <v>218</v>
      </c>
      <c r="C10" s="13" t="s">
        <v>824</v>
      </c>
      <c r="D10" t="s">
        <v>58</v>
      </c>
      <c r="E10" t="s">
        <v>15</v>
      </c>
      <c r="F10" t="s">
        <v>37</v>
      </c>
      <c r="G10">
        <v>1</v>
      </c>
      <c r="H10" t="s">
        <v>53</v>
      </c>
      <c r="I10">
        <v>0</v>
      </c>
      <c r="J10">
        <v>45953</v>
      </c>
      <c r="K10" t="s">
        <v>18</v>
      </c>
      <c r="L10" t="s">
        <v>19</v>
      </c>
      <c r="M10">
        <v>77</v>
      </c>
      <c r="N10">
        <f>MONTH(QHSE[[#This Row],[Date]])</f>
        <v>1</v>
      </c>
    </row>
    <row r="11" spans="1:14" x14ac:dyDescent="0.3">
      <c r="A11" t="s">
        <v>219</v>
      </c>
      <c r="B11" t="s">
        <v>220</v>
      </c>
      <c r="C11" s="13" t="s">
        <v>824</v>
      </c>
      <c r="D11" t="s">
        <v>22</v>
      </c>
      <c r="E11" t="s">
        <v>15</v>
      </c>
      <c r="F11" t="s">
        <v>16</v>
      </c>
      <c r="G11">
        <v>4</v>
      </c>
      <c r="H11" t="s">
        <v>24</v>
      </c>
      <c r="I11">
        <v>1</v>
      </c>
      <c r="J11">
        <v>3603074</v>
      </c>
      <c r="K11" t="s">
        <v>41</v>
      </c>
      <c r="L11" t="s">
        <v>31</v>
      </c>
      <c r="M11">
        <v>81</v>
      </c>
      <c r="N11">
        <f>MONTH(QHSE[[#This Row],[Date]])</f>
        <v>1</v>
      </c>
    </row>
    <row r="12" spans="1:14" x14ac:dyDescent="0.3">
      <c r="A12" t="s">
        <v>221</v>
      </c>
      <c r="B12" t="s">
        <v>220</v>
      </c>
      <c r="C12" s="13" t="s">
        <v>824</v>
      </c>
      <c r="D12" t="s">
        <v>33</v>
      </c>
      <c r="E12" t="s">
        <v>25</v>
      </c>
      <c r="F12" t="s">
        <v>45</v>
      </c>
      <c r="G12">
        <v>2</v>
      </c>
      <c r="H12" t="s">
        <v>53</v>
      </c>
      <c r="I12">
        <v>0</v>
      </c>
      <c r="J12">
        <v>224845</v>
      </c>
      <c r="K12" t="s">
        <v>18</v>
      </c>
      <c r="L12" t="s">
        <v>46</v>
      </c>
      <c r="M12">
        <v>70</v>
      </c>
      <c r="N12">
        <f>MONTH(QHSE[[#This Row],[Date]])</f>
        <v>1</v>
      </c>
    </row>
    <row r="13" spans="1:14" x14ac:dyDescent="0.3">
      <c r="A13" t="s">
        <v>222</v>
      </c>
      <c r="B13" t="s">
        <v>220</v>
      </c>
      <c r="C13" s="13" t="s">
        <v>824</v>
      </c>
      <c r="D13" t="s">
        <v>22</v>
      </c>
      <c r="E13" t="s">
        <v>15</v>
      </c>
      <c r="F13" t="s">
        <v>40</v>
      </c>
      <c r="G13">
        <v>2</v>
      </c>
      <c r="H13" t="s">
        <v>96</v>
      </c>
      <c r="I13">
        <v>0</v>
      </c>
      <c r="J13">
        <v>50037</v>
      </c>
      <c r="K13" t="s">
        <v>30</v>
      </c>
      <c r="L13" t="s">
        <v>31</v>
      </c>
      <c r="M13">
        <v>83</v>
      </c>
      <c r="N13">
        <f>MONTH(QHSE[[#This Row],[Date]])</f>
        <v>1</v>
      </c>
    </row>
    <row r="14" spans="1:14" x14ac:dyDescent="0.3">
      <c r="A14" t="s">
        <v>223</v>
      </c>
      <c r="B14" t="s">
        <v>220</v>
      </c>
      <c r="C14" s="13" t="s">
        <v>824</v>
      </c>
      <c r="D14" t="s">
        <v>33</v>
      </c>
      <c r="E14" t="s">
        <v>39</v>
      </c>
      <c r="F14" t="s">
        <v>40</v>
      </c>
      <c r="G14">
        <v>2</v>
      </c>
      <c r="H14" t="s">
        <v>53</v>
      </c>
      <c r="I14">
        <v>0</v>
      </c>
      <c r="J14">
        <v>83816</v>
      </c>
      <c r="K14" t="s">
        <v>41</v>
      </c>
      <c r="L14" t="s">
        <v>23</v>
      </c>
      <c r="M14">
        <v>77</v>
      </c>
      <c r="N14">
        <f>MONTH(QHSE[[#This Row],[Date]])</f>
        <v>1</v>
      </c>
    </row>
    <row r="15" spans="1:14" x14ac:dyDescent="0.3">
      <c r="A15" t="s">
        <v>224</v>
      </c>
      <c r="B15" t="s">
        <v>220</v>
      </c>
      <c r="C15" s="13" t="s">
        <v>824</v>
      </c>
      <c r="D15" t="s">
        <v>22</v>
      </c>
      <c r="E15" t="s">
        <v>36</v>
      </c>
      <c r="F15" t="s">
        <v>45</v>
      </c>
      <c r="G15">
        <v>2</v>
      </c>
      <c r="H15" t="s">
        <v>53</v>
      </c>
      <c r="I15">
        <v>0</v>
      </c>
      <c r="J15">
        <v>127951</v>
      </c>
      <c r="K15" t="s">
        <v>18</v>
      </c>
      <c r="L15" t="s">
        <v>46</v>
      </c>
      <c r="M15">
        <v>90</v>
      </c>
      <c r="N15">
        <f>MONTH(QHSE[[#This Row],[Date]])</f>
        <v>1</v>
      </c>
    </row>
    <row r="16" spans="1:14" x14ac:dyDescent="0.3">
      <c r="A16" t="s">
        <v>225</v>
      </c>
      <c r="B16" t="s">
        <v>220</v>
      </c>
      <c r="C16" s="13" t="s">
        <v>824</v>
      </c>
      <c r="D16" t="s">
        <v>58</v>
      </c>
      <c r="E16" t="s">
        <v>25</v>
      </c>
      <c r="F16" t="s">
        <v>45</v>
      </c>
      <c r="G16">
        <v>2</v>
      </c>
      <c r="H16" t="s">
        <v>49</v>
      </c>
      <c r="I16">
        <v>0</v>
      </c>
      <c r="J16">
        <v>125900</v>
      </c>
      <c r="K16" t="s">
        <v>18</v>
      </c>
      <c r="L16" t="s">
        <v>46</v>
      </c>
      <c r="M16">
        <v>78</v>
      </c>
      <c r="N16">
        <f>MONTH(QHSE[[#This Row],[Date]])</f>
        <v>1</v>
      </c>
    </row>
    <row r="17" spans="1:14" x14ac:dyDescent="0.3">
      <c r="A17" t="s">
        <v>226</v>
      </c>
      <c r="B17" t="s">
        <v>227</v>
      </c>
      <c r="C17" s="13" t="s">
        <v>824</v>
      </c>
      <c r="D17" t="s">
        <v>27</v>
      </c>
      <c r="E17" t="s">
        <v>15</v>
      </c>
      <c r="F17" t="s">
        <v>40</v>
      </c>
      <c r="G17">
        <v>2</v>
      </c>
      <c r="H17" t="s">
        <v>29</v>
      </c>
      <c r="I17">
        <v>0</v>
      </c>
      <c r="J17">
        <v>95346</v>
      </c>
      <c r="K17" t="s">
        <v>30</v>
      </c>
      <c r="L17" t="s">
        <v>19</v>
      </c>
      <c r="M17">
        <v>95</v>
      </c>
      <c r="N17">
        <f>MONTH(QHSE[[#This Row],[Date]])</f>
        <v>1</v>
      </c>
    </row>
    <row r="18" spans="1:14" x14ac:dyDescent="0.3">
      <c r="A18" t="s">
        <v>228</v>
      </c>
      <c r="B18" t="s">
        <v>227</v>
      </c>
      <c r="C18" s="13" t="s">
        <v>824</v>
      </c>
      <c r="D18" t="s">
        <v>33</v>
      </c>
      <c r="E18" t="s">
        <v>25</v>
      </c>
      <c r="F18" t="s">
        <v>40</v>
      </c>
      <c r="G18">
        <v>2</v>
      </c>
      <c r="H18" t="s">
        <v>29</v>
      </c>
      <c r="I18">
        <v>0</v>
      </c>
      <c r="J18">
        <v>126322</v>
      </c>
      <c r="K18" t="s">
        <v>18</v>
      </c>
      <c r="L18" t="s">
        <v>23</v>
      </c>
      <c r="M18">
        <v>68</v>
      </c>
      <c r="N18">
        <f>MONTH(QHSE[[#This Row],[Date]])</f>
        <v>1</v>
      </c>
    </row>
    <row r="19" spans="1:14" x14ac:dyDescent="0.3">
      <c r="A19" t="s">
        <v>229</v>
      </c>
      <c r="B19" t="s">
        <v>227</v>
      </c>
      <c r="C19" s="13" t="s">
        <v>824</v>
      </c>
      <c r="D19" t="s">
        <v>22</v>
      </c>
      <c r="E19" t="s">
        <v>60</v>
      </c>
      <c r="F19" t="s">
        <v>45</v>
      </c>
      <c r="G19">
        <v>1</v>
      </c>
      <c r="H19" t="s">
        <v>17</v>
      </c>
      <c r="I19">
        <v>0</v>
      </c>
      <c r="J19">
        <v>15153</v>
      </c>
      <c r="K19" t="s">
        <v>18</v>
      </c>
      <c r="L19" t="s">
        <v>25</v>
      </c>
      <c r="M19">
        <v>72</v>
      </c>
      <c r="N19">
        <f>MONTH(QHSE[[#This Row],[Date]])</f>
        <v>1</v>
      </c>
    </row>
    <row r="20" spans="1:14" x14ac:dyDescent="0.3">
      <c r="A20" t="s">
        <v>230</v>
      </c>
      <c r="B20" t="s">
        <v>231</v>
      </c>
      <c r="C20" s="13" t="s">
        <v>824</v>
      </c>
      <c r="D20" t="s">
        <v>27</v>
      </c>
      <c r="E20" t="s">
        <v>23</v>
      </c>
      <c r="F20" t="s">
        <v>16</v>
      </c>
      <c r="G20">
        <v>2</v>
      </c>
      <c r="H20" t="s">
        <v>17</v>
      </c>
      <c r="I20">
        <v>1</v>
      </c>
      <c r="J20">
        <v>132552</v>
      </c>
      <c r="K20" t="s">
        <v>18</v>
      </c>
      <c r="L20" t="s">
        <v>19</v>
      </c>
      <c r="M20">
        <v>89</v>
      </c>
      <c r="N20">
        <f>MONTH(QHSE[[#This Row],[Date]])</f>
        <v>1</v>
      </c>
    </row>
    <row r="21" spans="1:14" x14ac:dyDescent="0.3">
      <c r="A21" t="s">
        <v>232</v>
      </c>
      <c r="B21" t="s">
        <v>231</v>
      </c>
      <c r="C21" s="13" t="s">
        <v>824</v>
      </c>
      <c r="D21" t="s">
        <v>33</v>
      </c>
      <c r="E21" t="s">
        <v>36</v>
      </c>
      <c r="F21" t="s">
        <v>16</v>
      </c>
      <c r="G21">
        <v>3</v>
      </c>
      <c r="H21" t="s">
        <v>49</v>
      </c>
      <c r="I21">
        <v>8</v>
      </c>
      <c r="J21">
        <v>851765</v>
      </c>
      <c r="K21" t="s">
        <v>18</v>
      </c>
      <c r="L21" t="s">
        <v>19</v>
      </c>
      <c r="M21">
        <v>77</v>
      </c>
      <c r="N21">
        <f>MONTH(QHSE[[#This Row],[Date]])</f>
        <v>1</v>
      </c>
    </row>
    <row r="22" spans="1:14" x14ac:dyDescent="0.3">
      <c r="A22" t="s">
        <v>233</v>
      </c>
      <c r="B22" t="s">
        <v>231</v>
      </c>
      <c r="C22" s="13" t="s">
        <v>824</v>
      </c>
      <c r="D22" t="s">
        <v>27</v>
      </c>
      <c r="E22" t="s">
        <v>25</v>
      </c>
      <c r="F22" t="s">
        <v>16</v>
      </c>
      <c r="G22">
        <v>2</v>
      </c>
      <c r="H22" t="s">
        <v>17</v>
      </c>
      <c r="I22">
        <v>13</v>
      </c>
      <c r="J22">
        <v>145814</v>
      </c>
      <c r="K22" t="s">
        <v>41</v>
      </c>
      <c r="L22" t="s">
        <v>31</v>
      </c>
      <c r="M22">
        <v>96</v>
      </c>
      <c r="N22">
        <f>MONTH(QHSE[[#This Row],[Date]])</f>
        <v>1</v>
      </c>
    </row>
    <row r="23" spans="1:14" x14ac:dyDescent="0.3">
      <c r="A23" t="s">
        <v>234</v>
      </c>
      <c r="B23" t="s">
        <v>235</v>
      </c>
      <c r="C23" s="13" t="s">
        <v>824</v>
      </c>
      <c r="D23" t="s">
        <v>14</v>
      </c>
      <c r="E23" t="s">
        <v>23</v>
      </c>
      <c r="F23" t="s">
        <v>40</v>
      </c>
      <c r="G23">
        <v>2</v>
      </c>
      <c r="H23" t="s">
        <v>24</v>
      </c>
      <c r="I23">
        <v>0</v>
      </c>
      <c r="J23">
        <v>53600</v>
      </c>
      <c r="K23" t="s">
        <v>18</v>
      </c>
      <c r="L23" t="s">
        <v>31</v>
      </c>
      <c r="M23">
        <v>92</v>
      </c>
      <c r="N23">
        <f>MONTH(QHSE[[#This Row],[Date]])</f>
        <v>1</v>
      </c>
    </row>
    <row r="24" spans="1:14" x14ac:dyDescent="0.3">
      <c r="A24" t="s">
        <v>236</v>
      </c>
      <c r="B24" t="s">
        <v>235</v>
      </c>
      <c r="C24" s="13" t="s">
        <v>824</v>
      </c>
      <c r="D24" t="s">
        <v>14</v>
      </c>
      <c r="E24" t="s">
        <v>15</v>
      </c>
      <c r="F24" t="s">
        <v>45</v>
      </c>
      <c r="G24">
        <v>1</v>
      </c>
      <c r="H24" t="s">
        <v>96</v>
      </c>
      <c r="I24">
        <v>0</v>
      </c>
      <c r="J24">
        <v>26857</v>
      </c>
      <c r="K24" t="s">
        <v>18</v>
      </c>
      <c r="L24" t="s">
        <v>31</v>
      </c>
      <c r="M24">
        <v>94</v>
      </c>
      <c r="N24">
        <f>MONTH(QHSE[[#This Row],[Date]])</f>
        <v>1</v>
      </c>
    </row>
    <row r="25" spans="1:14" x14ac:dyDescent="0.3">
      <c r="A25" t="s">
        <v>237</v>
      </c>
      <c r="B25" t="s">
        <v>235</v>
      </c>
      <c r="C25" s="13" t="s">
        <v>824</v>
      </c>
      <c r="D25" t="s">
        <v>27</v>
      </c>
      <c r="E25" t="s">
        <v>23</v>
      </c>
      <c r="F25" t="s">
        <v>40</v>
      </c>
      <c r="G25">
        <v>1</v>
      </c>
      <c r="H25" t="s">
        <v>77</v>
      </c>
      <c r="I25">
        <v>0</v>
      </c>
      <c r="J25">
        <v>11087</v>
      </c>
      <c r="K25" t="s">
        <v>18</v>
      </c>
      <c r="L25" t="s">
        <v>19</v>
      </c>
      <c r="M25">
        <v>67</v>
      </c>
      <c r="N25">
        <f>MONTH(QHSE[[#This Row],[Date]])</f>
        <v>1</v>
      </c>
    </row>
    <row r="26" spans="1:14" x14ac:dyDescent="0.3">
      <c r="A26" t="s">
        <v>238</v>
      </c>
      <c r="B26" t="s">
        <v>239</v>
      </c>
      <c r="C26" s="13" t="s">
        <v>824</v>
      </c>
      <c r="D26" t="s">
        <v>14</v>
      </c>
      <c r="E26" t="s">
        <v>36</v>
      </c>
      <c r="F26" t="s">
        <v>16</v>
      </c>
      <c r="G26">
        <v>4</v>
      </c>
      <c r="H26" t="s">
        <v>24</v>
      </c>
      <c r="I26">
        <v>13</v>
      </c>
      <c r="J26">
        <v>4864973</v>
      </c>
      <c r="K26" t="s">
        <v>18</v>
      </c>
      <c r="L26" t="s">
        <v>25</v>
      </c>
      <c r="M26">
        <v>92</v>
      </c>
      <c r="N26">
        <f>MONTH(QHSE[[#This Row],[Date]])</f>
        <v>1</v>
      </c>
    </row>
    <row r="27" spans="1:14" x14ac:dyDescent="0.3">
      <c r="A27" t="s">
        <v>240</v>
      </c>
      <c r="B27" t="s">
        <v>239</v>
      </c>
      <c r="C27" s="13" t="s">
        <v>824</v>
      </c>
      <c r="D27" t="s">
        <v>27</v>
      </c>
      <c r="E27" t="s">
        <v>25</v>
      </c>
      <c r="F27" t="s">
        <v>40</v>
      </c>
      <c r="G27">
        <v>2</v>
      </c>
      <c r="H27" t="s">
        <v>77</v>
      </c>
      <c r="I27">
        <v>0</v>
      </c>
      <c r="J27">
        <v>75490</v>
      </c>
      <c r="K27" t="s">
        <v>18</v>
      </c>
      <c r="L27" t="s">
        <v>46</v>
      </c>
      <c r="M27">
        <v>67</v>
      </c>
      <c r="N27">
        <f>MONTH(QHSE[[#This Row],[Date]])</f>
        <v>1</v>
      </c>
    </row>
    <row r="28" spans="1:14" x14ac:dyDescent="0.3">
      <c r="A28" t="s">
        <v>241</v>
      </c>
      <c r="B28" t="s">
        <v>242</v>
      </c>
      <c r="C28" s="13" t="s">
        <v>824</v>
      </c>
      <c r="D28" t="s">
        <v>58</v>
      </c>
      <c r="E28" t="s">
        <v>60</v>
      </c>
      <c r="F28" t="s">
        <v>45</v>
      </c>
      <c r="G28">
        <v>2</v>
      </c>
      <c r="H28" t="s">
        <v>77</v>
      </c>
      <c r="I28">
        <v>0</v>
      </c>
      <c r="J28">
        <v>191537</v>
      </c>
      <c r="K28" t="s">
        <v>18</v>
      </c>
      <c r="L28" t="s">
        <v>31</v>
      </c>
      <c r="M28">
        <v>98</v>
      </c>
      <c r="N28">
        <f>MONTH(QHSE[[#This Row],[Date]])</f>
        <v>1</v>
      </c>
    </row>
    <row r="29" spans="1:14" x14ac:dyDescent="0.3">
      <c r="A29" t="s">
        <v>243</v>
      </c>
      <c r="B29" t="s">
        <v>242</v>
      </c>
      <c r="C29" s="13" t="s">
        <v>824</v>
      </c>
      <c r="D29" t="s">
        <v>22</v>
      </c>
      <c r="E29" t="s">
        <v>15</v>
      </c>
      <c r="F29" t="s">
        <v>45</v>
      </c>
      <c r="G29">
        <v>1</v>
      </c>
      <c r="H29" t="s">
        <v>49</v>
      </c>
      <c r="I29">
        <v>0</v>
      </c>
      <c r="J29">
        <v>48911</v>
      </c>
      <c r="K29" t="s">
        <v>18</v>
      </c>
      <c r="L29" t="s">
        <v>25</v>
      </c>
      <c r="M29">
        <v>80</v>
      </c>
      <c r="N29">
        <f>MONTH(QHSE[[#This Row],[Date]])</f>
        <v>1</v>
      </c>
    </row>
    <row r="30" spans="1:14" x14ac:dyDescent="0.3">
      <c r="A30" t="s">
        <v>244</v>
      </c>
      <c r="B30" t="s">
        <v>245</v>
      </c>
      <c r="C30" s="13" t="s">
        <v>824</v>
      </c>
      <c r="D30" t="s">
        <v>22</v>
      </c>
      <c r="E30" t="s">
        <v>25</v>
      </c>
      <c r="F30" t="s">
        <v>72</v>
      </c>
      <c r="G30">
        <v>1</v>
      </c>
      <c r="H30" t="s">
        <v>24</v>
      </c>
      <c r="I30">
        <v>0</v>
      </c>
      <c r="J30">
        <v>43041</v>
      </c>
      <c r="K30" t="s">
        <v>18</v>
      </c>
      <c r="L30" t="s">
        <v>23</v>
      </c>
      <c r="M30">
        <v>86</v>
      </c>
      <c r="N30">
        <f>MONTH(QHSE[[#This Row],[Date]])</f>
        <v>1</v>
      </c>
    </row>
    <row r="31" spans="1:14" x14ac:dyDescent="0.3">
      <c r="A31" t="s">
        <v>246</v>
      </c>
      <c r="B31" t="s">
        <v>247</v>
      </c>
      <c r="C31" s="13" t="s">
        <v>824</v>
      </c>
      <c r="D31" t="s">
        <v>33</v>
      </c>
      <c r="E31" t="s">
        <v>36</v>
      </c>
      <c r="F31" t="s">
        <v>72</v>
      </c>
      <c r="G31">
        <v>3</v>
      </c>
      <c r="H31" t="s">
        <v>49</v>
      </c>
      <c r="I31">
        <v>0</v>
      </c>
      <c r="J31">
        <v>774486</v>
      </c>
      <c r="K31" t="s">
        <v>30</v>
      </c>
      <c r="L31" t="s">
        <v>31</v>
      </c>
      <c r="M31">
        <v>96</v>
      </c>
      <c r="N31">
        <f>MONTH(QHSE[[#This Row],[Date]])</f>
        <v>1</v>
      </c>
    </row>
    <row r="32" spans="1:14" x14ac:dyDescent="0.3">
      <c r="A32" t="s">
        <v>248</v>
      </c>
      <c r="B32" t="s">
        <v>247</v>
      </c>
      <c r="C32" s="13" t="s">
        <v>824</v>
      </c>
      <c r="D32" t="s">
        <v>58</v>
      </c>
      <c r="E32" t="s">
        <v>15</v>
      </c>
      <c r="F32" t="s">
        <v>28</v>
      </c>
      <c r="G32">
        <v>2</v>
      </c>
      <c r="H32" t="s">
        <v>53</v>
      </c>
      <c r="I32">
        <v>0</v>
      </c>
      <c r="J32">
        <v>217892</v>
      </c>
      <c r="K32" t="s">
        <v>18</v>
      </c>
      <c r="L32" t="s">
        <v>46</v>
      </c>
      <c r="M32">
        <v>72</v>
      </c>
      <c r="N32">
        <f>MONTH(QHSE[[#This Row],[Date]])</f>
        <v>1</v>
      </c>
    </row>
    <row r="33" spans="1:14" x14ac:dyDescent="0.3">
      <c r="A33" t="s">
        <v>249</v>
      </c>
      <c r="B33" t="s">
        <v>250</v>
      </c>
      <c r="C33" s="13" t="s">
        <v>824</v>
      </c>
      <c r="D33" t="s">
        <v>27</v>
      </c>
      <c r="E33" t="s">
        <v>39</v>
      </c>
      <c r="F33" t="s">
        <v>37</v>
      </c>
      <c r="G33">
        <v>1</v>
      </c>
      <c r="H33" t="s">
        <v>77</v>
      </c>
      <c r="I33">
        <v>0</v>
      </c>
      <c r="J33">
        <v>49271</v>
      </c>
      <c r="K33" t="s">
        <v>30</v>
      </c>
      <c r="L33" t="s">
        <v>23</v>
      </c>
      <c r="M33">
        <v>72</v>
      </c>
      <c r="N33">
        <f>MONTH(QHSE[[#This Row],[Date]])</f>
        <v>1</v>
      </c>
    </row>
    <row r="34" spans="1:14" x14ac:dyDescent="0.3">
      <c r="A34" t="s">
        <v>251</v>
      </c>
      <c r="B34" t="s">
        <v>250</v>
      </c>
      <c r="C34" s="13" t="s">
        <v>824</v>
      </c>
      <c r="D34" t="s">
        <v>14</v>
      </c>
      <c r="E34" t="s">
        <v>23</v>
      </c>
      <c r="F34" t="s">
        <v>72</v>
      </c>
      <c r="G34">
        <v>1</v>
      </c>
      <c r="H34" t="s">
        <v>96</v>
      </c>
      <c r="I34">
        <v>0</v>
      </c>
      <c r="J34">
        <v>34853</v>
      </c>
      <c r="K34" t="s">
        <v>18</v>
      </c>
      <c r="L34" t="s">
        <v>23</v>
      </c>
      <c r="M34">
        <v>70</v>
      </c>
      <c r="N34">
        <f>MONTH(QHSE[[#This Row],[Date]])</f>
        <v>1</v>
      </c>
    </row>
    <row r="35" spans="1:14" x14ac:dyDescent="0.3">
      <c r="A35" t="s">
        <v>252</v>
      </c>
      <c r="B35" t="s">
        <v>253</v>
      </c>
      <c r="C35" s="13" t="s">
        <v>824</v>
      </c>
      <c r="D35" t="s">
        <v>22</v>
      </c>
      <c r="E35" t="s">
        <v>36</v>
      </c>
      <c r="F35" t="s">
        <v>40</v>
      </c>
      <c r="G35">
        <v>2</v>
      </c>
      <c r="H35" t="s">
        <v>17</v>
      </c>
      <c r="I35">
        <v>0</v>
      </c>
      <c r="J35">
        <v>161836</v>
      </c>
      <c r="K35" t="s">
        <v>18</v>
      </c>
      <c r="L35" t="s">
        <v>46</v>
      </c>
      <c r="M35">
        <v>78</v>
      </c>
      <c r="N35">
        <f>MONTH(QHSE[[#This Row],[Date]])</f>
        <v>1</v>
      </c>
    </row>
    <row r="36" spans="1:14" x14ac:dyDescent="0.3">
      <c r="A36" t="s">
        <v>254</v>
      </c>
      <c r="B36" t="s">
        <v>253</v>
      </c>
      <c r="C36" s="13" t="s">
        <v>824</v>
      </c>
      <c r="D36" t="s">
        <v>22</v>
      </c>
      <c r="E36" t="s">
        <v>39</v>
      </c>
      <c r="F36" t="s">
        <v>72</v>
      </c>
      <c r="G36">
        <v>1</v>
      </c>
      <c r="H36" t="s">
        <v>96</v>
      </c>
      <c r="I36">
        <v>0</v>
      </c>
      <c r="J36">
        <v>35129</v>
      </c>
      <c r="K36" t="s">
        <v>30</v>
      </c>
      <c r="L36" t="s">
        <v>31</v>
      </c>
      <c r="M36">
        <v>96</v>
      </c>
      <c r="N36">
        <f>MONTH(QHSE[[#This Row],[Date]])</f>
        <v>1</v>
      </c>
    </row>
    <row r="37" spans="1:14" x14ac:dyDescent="0.3">
      <c r="A37" t="s">
        <v>255</v>
      </c>
      <c r="B37" t="s">
        <v>253</v>
      </c>
      <c r="C37" s="13" t="s">
        <v>824</v>
      </c>
      <c r="D37" t="s">
        <v>27</v>
      </c>
      <c r="E37" t="s">
        <v>25</v>
      </c>
      <c r="F37" t="s">
        <v>28</v>
      </c>
      <c r="G37">
        <v>3</v>
      </c>
      <c r="H37" t="s">
        <v>17</v>
      </c>
      <c r="I37">
        <v>0</v>
      </c>
      <c r="J37">
        <v>649506</v>
      </c>
      <c r="K37" t="s">
        <v>18</v>
      </c>
      <c r="L37" t="s">
        <v>19</v>
      </c>
      <c r="M37">
        <v>99</v>
      </c>
      <c r="N37">
        <f>MONTH(QHSE[[#This Row],[Date]])</f>
        <v>1</v>
      </c>
    </row>
    <row r="38" spans="1:14" x14ac:dyDescent="0.3">
      <c r="A38" t="s">
        <v>256</v>
      </c>
      <c r="B38" t="s">
        <v>253</v>
      </c>
      <c r="C38" s="13" t="s">
        <v>824</v>
      </c>
      <c r="D38" t="s">
        <v>27</v>
      </c>
      <c r="E38" t="s">
        <v>60</v>
      </c>
      <c r="F38" t="s">
        <v>45</v>
      </c>
      <c r="G38">
        <v>2</v>
      </c>
      <c r="H38" t="s">
        <v>77</v>
      </c>
      <c r="I38">
        <v>0</v>
      </c>
      <c r="J38">
        <v>177017</v>
      </c>
      <c r="K38" t="s">
        <v>41</v>
      </c>
      <c r="L38" t="s">
        <v>46</v>
      </c>
      <c r="M38">
        <v>74</v>
      </c>
      <c r="N38">
        <f>MONTH(QHSE[[#This Row],[Date]])</f>
        <v>1</v>
      </c>
    </row>
    <row r="39" spans="1:14" x14ac:dyDescent="0.3">
      <c r="A39" t="s">
        <v>257</v>
      </c>
      <c r="B39" t="s">
        <v>253</v>
      </c>
      <c r="C39" s="13" t="s">
        <v>824</v>
      </c>
      <c r="D39" t="s">
        <v>27</v>
      </c>
      <c r="E39" t="s">
        <v>15</v>
      </c>
      <c r="F39" t="s">
        <v>28</v>
      </c>
      <c r="G39">
        <v>3</v>
      </c>
      <c r="H39" t="s">
        <v>77</v>
      </c>
      <c r="I39">
        <v>0</v>
      </c>
      <c r="J39">
        <v>587381</v>
      </c>
      <c r="K39" t="s">
        <v>30</v>
      </c>
      <c r="L39" t="s">
        <v>46</v>
      </c>
      <c r="M39">
        <v>67</v>
      </c>
      <c r="N39">
        <f>MONTH(QHSE[[#This Row],[Date]])</f>
        <v>1</v>
      </c>
    </row>
    <row r="40" spans="1:14" x14ac:dyDescent="0.3">
      <c r="A40" t="s">
        <v>258</v>
      </c>
      <c r="B40" t="s">
        <v>259</v>
      </c>
      <c r="C40" s="13" t="s">
        <v>824</v>
      </c>
      <c r="D40" t="s">
        <v>22</v>
      </c>
      <c r="E40" t="s">
        <v>23</v>
      </c>
      <c r="F40" t="s">
        <v>45</v>
      </c>
      <c r="G40">
        <v>2</v>
      </c>
      <c r="H40" t="s">
        <v>77</v>
      </c>
      <c r="I40">
        <v>0</v>
      </c>
      <c r="J40">
        <v>93688</v>
      </c>
      <c r="K40" t="s">
        <v>18</v>
      </c>
      <c r="L40" t="s">
        <v>46</v>
      </c>
      <c r="M40">
        <v>76</v>
      </c>
      <c r="N40">
        <f>MONTH(QHSE[[#This Row],[Date]])</f>
        <v>1</v>
      </c>
    </row>
    <row r="41" spans="1:14" x14ac:dyDescent="0.3">
      <c r="A41" t="s">
        <v>260</v>
      </c>
      <c r="B41" t="s">
        <v>261</v>
      </c>
      <c r="C41" s="13" t="s">
        <v>824</v>
      </c>
      <c r="D41" t="s">
        <v>33</v>
      </c>
      <c r="E41" t="s">
        <v>15</v>
      </c>
      <c r="F41" t="s">
        <v>40</v>
      </c>
      <c r="G41">
        <v>2</v>
      </c>
      <c r="H41" t="s">
        <v>49</v>
      </c>
      <c r="I41">
        <v>0</v>
      </c>
      <c r="J41">
        <v>74049</v>
      </c>
      <c r="K41" t="s">
        <v>41</v>
      </c>
      <c r="L41" t="s">
        <v>23</v>
      </c>
      <c r="M41">
        <v>95</v>
      </c>
      <c r="N41">
        <f>MONTH(QHSE[[#This Row],[Date]])</f>
        <v>1</v>
      </c>
    </row>
    <row r="42" spans="1:14" x14ac:dyDescent="0.3">
      <c r="A42" t="s">
        <v>262</v>
      </c>
      <c r="B42" t="s">
        <v>261</v>
      </c>
      <c r="C42" s="13" t="s">
        <v>824</v>
      </c>
      <c r="D42" t="s">
        <v>33</v>
      </c>
      <c r="E42" t="s">
        <v>25</v>
      </c>
      <c r="F42" t="s">
        <v>40</v>
      </c>
      <c r="G42">
        <v>2</v>
      </c>
      <c r="H42" t="s">
        <v>24</v>
      </c>
      <c r="I42">
        <v>0</v>
      </c>
      <c r="J42">
        <v>63668</v>
      </c>
      <c r="K42" t="s">
        <v>30</v>
      </c>
      <c r="L42" t="s">
        <v>25</v>
      </c>
      <c r="M42">
        <v>93</v>
      </c>
      <c r="N42">
        <f>MONTH(QHSE[[#This Row],[Date]])</f>
        <v>1</v>
      </c>
    </row>
    <row r="43" spans="1:14" x14ac:dyDescent="0.3">
      <c r="A43" t="s">
        <v>263</v>
      </c>
      <c r="B43" t="s">
        <v>261</v>
      </c>
      <c r="C43" s="13" t="s">
        <v>824</v>
      </c>
      <c r="D43" t="s">
        <v>14</v>
      </c>
      <c r="E43" t="s">
        <v>15</v>
      </c>
      <c r="F43" t="s">
        <v>45</v>
      </c>
      <c r="G43">
        <v>1</v>
      </c>
      <c r="H43" t="s">
        <v>17</v>
      </c>
      <c r="I43">
        <v>0</v>
      </c>
      <c r="J43">
        <v>20532</v>
      </c>
      <c r="K43" t="s">
        <v>18</v>
      </c>
      <c r="L43" t="s">
        <v>19</v>
      </c>
      <c r="M43">
        <v>69</v>
      </c>
      <c r="N43">
        <f>MONTH(QHSE[[#This Row],[Date]])</f>
        <v>1</v>
      </c>
    </row>
    <row r="44" spans="1:14" x14ac:dyDescent="0.3">
      <c r="A44" t="s">
        <v>264</v>
      </c>
      <c r="B44" t="s">
        <v>265</v>
      </c>
      <c r="C44" s="13" t="s">
        <v>824</v>
      </c>
      <c r="D44" t="s">
        <v>27</v>
      </c>
      <c r="E44" t="s">
        <v>23</v>
      </c>
      <c r="F44" t="s">
        <v>37</v>
      </c>
      <c r="G44">
        <v>2</v>
      </c>
      <c r="H44" t="s">
        <v>24</v>
      </c>
      <c r="I44">
        <v>0</v>
      </c>
      <c r="J44">
        <v>59224</v>
      </c>
      <c r="K44" t="s">
        <v>18</v>
      </c>
      <c r="L44" t="s">
        <v>31</v>
      </c>
      <c r="M44">
        <v>89</v>
      </c>
      <c r="N44">
        <f>MONTH(QHSE[[#This Row],[Date]])</f>
        <v>1</v>
      </c>
    </row>
    <row r="45" spans="1:14" x14ac:dyDescent="0.3">
      <c r="A45" t="s">
        <v>266</v>
      </c>
      <c r="B45" t="s">
        <v>267</v>
      </c>
      <c r="C45" s="13" t="s">
        <v>824</v>
      </c>
      <c r="D45" t="s">
        <v>22</v>
      </c>
      <c r="E45" t="s">
        <v>25</v>
      </c>
      <c r="F45" t="s">
        <v>72</v>
      </c>
      <c r="G45">
        <v>1</v>
      </c>
      <c r="H45" t="s">
        <v>49</v>
      </c>
      <c r="I45">
        <v>0</v>
      </c>
      <c r="J45">
        <v>32686</v>
      </c>
      <c r="K45" t="s">
        <v>18</v>
      </c>
      <c r="L45" t="s">
        <v>31</v>
      </c>
      <c r="M45">
        <v>95</v>
      </c>
      <c r="N45">
        <f>MONTH(QHSE[[#This Row],[Date]])</f>
        <v>1</v>
      </c>
    </row>
    <row r="46" spans="1:14" x14ac:dyDescent="0.3">
      <c r="A46" t="s">
        <v>268</v>
      </c>
      <c r="B46" t="s">
        <v>269</v>
      </c>
      <c r="C46" s="13" t="s">
        <v>824</v>
      </c>
      <c r="D46" t="s">
        <v>58</v>
      </c>
      <c r="E46" t="s">
        <v>15</v>
      </c>
      <c r="F46" t="s">
        <v>40</v>
      </c>
      <c r="G46">
        <v>2</v>
      </c>
      <c r="H46" t="s">
        <v>49</v>
      </c>
      <c r="I46">
        <v>0</v>
      </c>
      <c r="J46">
        <v>106765</v>
      </c>
      <c r="K46" t="s">
        <v>41</v>
      </c>
      <c r="L46" t="s">
        <v>25</v>
      </c>
      <c r="M46">
        <v>85</v>
      </c>
      <c r="N46">
        <f>MONTH(QHSE[[#This Row],[Date]])</f>
        <v>1</v>
      </c>
    </row>
    <row r="47" spans="1:14" x14ac:dyDescent="0.3">
      <c r="A47" t="s">
        <v>270</v>
      </c>
      <c r="B47" t="s">
        <v>269</v>
      </c>
      <c r="C47" s="13" t="s">
        <v>824</v>
      </c>
      <c r="D47" t="s">
        <v>14</v>
      </c>
      <c r="E47" t="s">
        <v>60</v>
      </c>
      <c r="F47" t="s">
        <v>40</v>
      </c>
      <c r="G47">
        <v>2</v>
      </c>
      <c r="H47" t="s">
        <v>29</v>
      </c>
      <c r="I47">
        <v>0</v>
      </c>
      <c r="J47">
        <v>214906</v>
      </c>
      <c r="K47" t="s">
        <v>30</v>
      </c>
      <c r="L47" t="s">
        <v>46</v>
      </c>
      <c r="M47">
        <v>84</v>
      </c>
      <c r="N47">
        <f>MONTH(QHSE[[#This Row],[Date]])</f>
        <v>1</v>
      </c>
    </row>
    <row r="48" spans="1:14" x14ac:dyDescent="0.3">
      <c r="A48" t="s">
        <v>271</v>
      </c>
      <c r="B48" t="s">
        <v>272</v>
      </c>
      <c r="C48" s="13" t="s">
        <v>824</v>
      </c>
      <c r="D48" t="s">
        <v>22</v>
      </c>
      <c r="E48" t="s">
        <v>36</v>
      </c>
      <c r="F48" t="s">
        <v>16</v>
      </c>
      <c r="G48">
        <v>2</v>
      </c>
      <c r="H48" t="s">
        <v>96</v>
      </c>
      <c r="I48">
        <v>2</v>
      </c>
      <c r="J48">
        <v>64848</v>
      </c>
      <c r="K48" t="s">
        <v>101</v>
      </c>
      <c r="L48" t="s">
        <v>19</v>
      </c>
      <c r="M48">
        <v>86</v>
      </c>
      <c r="N48">
        <f>MONTH(QHSE[[#This Row],[Date]])</f>
        <v>1</v>
      </c>
    </row>
    <row r="49" spans="1:14" x14ac:dyDescent="0.3">
      <c r="A49" t="s">
        <v>273</v>
      </c>
      <c r="B49" t="s">
        <v>274</v>
      </c>
      <c r="C49" s="13" t="s">
        <v>824</v>
      </c>
      <c r="D49" t="s">
        <v>58</v>
      </c>
      <c r="E49" t="s">
        <v>25</v>
      </c>
      <c r="F49" t="s">
        <v>45</v>
      </c>
      <c r="G49">
        <v>2</v>
      </c>
      <c r="H49" t="s">
        <v>96</v>
      </c>
      <c r="I49">
        <v>0</v>
      </c>
      <c r="J49">
        <v>95270</v>
      </c>
      <c r="K49" t="s">
        <v>30</v>
      </c>
      <c r="L49" t="s">
        <v>31</v>
      </c>
      <c r="M49">
        <v>68</v>
      </c>
      <c r="N49">
        <f>MONTH(QHSE[[#This Row],[Date]])</f>
        <v>1</v>
      </c>
    </row>
    <row r="50" spans="1:14" x14ac:dyDescent="0.3">
      <c r="A50" t="s">
        <v>275</v>
      </c>
      <c r="B50" t="s">
        <v>274</v>
      </c>
      <c r="C50" s="13" t="s">
        <v>824</v>
      </c>
      <c r="D50" t="s">
        <v>58</v>
      </c>
      <c r="E50" t="s">
        <v>36</v>
      </c>
      <c r="F50" t="s">
        <v>40</v>
      </c>
      <c r="G50">
        <v>1</v>
      </c>
      <c r="H50" t="s">
        <v>53</v>
      </c>
      <c r="I50">
        <v>0</v>
      </c>
      <c r="J50">
        <v>39209</v>
      </c>
      <c r="K50" t="s">
        <v>18</v>
      </c>
      <c r="L50" t="s">
        <v>31</v>
      </c>
      <c r="M50">
        <v>77</v>
      </c>
      <c r="N50">
        <f>MONTH(QHSE[[#This Row],[Date]])</f>
        <v>1</v>
      </c>
    </row>
    <row r="51" spans="1:14" x14ac:dyDescent="0.3">
      <c r="A51" t="s">
        <v>276</v>
      </c>
      <c r="B51" t="s">
        <v>277</v>
      </c>
      <c r="C51" s="13" t="s">
        <v>824</v>
      </c>
      <c r="D51" t="s">
        <v>33</v>
      </c>
      <c r="E51" t="s">
        <v>25</v>
      </c>
      <c r="F51" t="s">
        <v>37</v>
      </c>
      <c r="G51">
        <v>1</v>
      </c>
      <c r="H51" t="s">
        <v>49</v>
      </c>
      <c r="I51">
        <v>0</v>
      </c>
      <c r="J51">
        <v>33952</v>
      </c>
      <c r="K51" t="s">
        <v>18</v>
      </c>
      <c r="L51" t="s">
        <v>46</v>
      </c>
      <c r="M51">
        <v>84</v>
      </c>
      <c r="N51">
        <f>MONTH(QHSE[[#This Row],[Date]])</f>
        <v>1</v>
      </c>
    </row>
    <row r="52" spans="1:14" x14ac:dyDescent="0.3">
      <c r="A52" t="s">
        <v>278</v>
      </c>
      <c r="B52" t="s">
        <v>279</v>
      </c>
      <c r="C52" s="13" t="s">
        <v>825</v>
      </c>
      <c r="D52" t="s">
        <v>14</v>
      </c>
      <c r="E52" t="s">
        <v>60</v>
      </c>
      <c r="F52" t="s">
        <v>45</v>
      </c>
      <c r="G52">
        <v>1</v>
      </c>
      <c r="H52" t="s">
        <v>17</v>
      </c>
      <c r="I52">
        <v>0</v>
      </c>
      <c r="J52">
        <v>12579</v>
      </c>
      <c r="K52" t="s">
        <v>30</v>
      </c>
      <c r="L52" t="s">
        <v>25</v>
      </c>
      <c r="M52">
        <v>77</v>
      </c>
      <c r="N52">
        <f>MONTH(QHSE[[#This Row],[Date]])</f>
        <v>2</v>
      </c>
    </row>
    <row r="53" spans="1:14" x14ac:dyDescent="0.3">
      <c r="A53" t="s">
        <v>280</v>
      </c>
      <c r="B53" t="s">
        <v>279</v>
      </c>
      <c r="C53" s="13" t="s">
        <v>825</v>
      </c>
      <c r="D53" t="s">
        <v>14</v>
      </c>
      <c r="E53" t="s">
        <v>36</v>
      </c>
      <c r="F53" t="s">
        <v>37</v>
      </c>
      <c r="G53">
        <v>1</v>
      </c>
      <c r="H53" t="s">
        <v>29</v>
      </c>
      <c r="I53">
        <v>0</v>
      </c>
      <c r="J53">
        <v>45089</v>
      </c>
      <c r="K53" t="s">
        <v>18</v>
      </c>
      <c r="L53" t="s">
        <v>19</v>
      </c>
      <c r="M53">
        <v>81</v>
      </c>
      <c r="N53">
        <f>MONTH(QHSE[[#This Row],[Date]])</f>
        <v>2</v>
      </c>
    </row>
    <row r="54" spans="1:14" x14ac:dyDescent="0.3">
      <c r="A54" t="s">
        <v>281</v>
      </c>
      <c r="B54" t="s">
        <v>282</v>
      </c>
      <c r="C54" s="13" t="s">
        <v>825</v>
      </c>
      <c r="D54" t="s">
        <v>27</v>
      </c>
      <c r="E54" t="s">
        <v>39</v>
      </c>
      <c r="F54" t="s">
        <v>40</v>
      </c>
      <c r="G54">
        <v>2</v>
      </c>
      <c r="H54" t="s">
        <v>29</v>
      </c>
      <c r="I54">
        <v>0</v>
      </c>
      <c r="J54">
        <v>225452</v>
      </c>
      <c r="K54" t="s">
        <v>101</v>
      </c>
      <c r="L54" t="s">
        <v>25</v>
      </c>
      <c r="M54">
        <v>97</v>
      </c>
      <c r="N54">
        <f>MONTH(QHSE[[#This Row],[Date]])</f>
        <v>2</v>
      </c>
    </row>
    <row r="55" spans="1:14" x14ac:dyDescent="0.3">
      <c r="A55" t="s">
        <v>283</v>
      </c>
      <c r="B55" t="s">
        <v>284</v>
      </c>
      <c r="C55" s="13" t="s">
        <v>825</v>
      </c>
      <c r="D55" t="s">
        <v>33</v>
      </c>
      <c r="E55" t="s">
        <v>23</v>
      </c>
      <c r="F55" t="s">
        <v>40</v>
      </c>
      <c r="G55">
        <v>2</v>
      </c>
      <c r="H55" t="s">
        <v>24</v>
      </c>
      <c r="I55">
        <v>0</v>
      </c>
      <c r="J55">
        <v>116081</v>
      </c>
      <c r="K55" t="s">
        <v>18</v>
      </c>
      <c r="L55" t="s">
        <v>25</v>
      </c>
      <c r="M55">
        <v>65</v>
      </c>
      <c r="N55">
        <f>MONTH(QHSE[[#This Row],[Date]])</f>
        <v>2</v>
      </c>
    </row>
    <row r="56" spans="1:14" x14ac:dyDescent="0.3">
      <c r="A56" t="s">
        <v>285</v>
      </c>
      <c r="B56" t="s">
        <v>284</v>
      </c>
      <c r="C56" s="13" t="s">
        <v>825</v>
      </c>
      <c r="D56" t="s">
        <v>58</v>
      </c>
      <c r="E56" t="s">
        <v>39</v>
      </c>
      <c r="F56" t="s">
        <v>16</v>
      </c>
      <c r="G56">
        <v>2</v>
      </c>
      <c r="H56" t="s">
        <v>96</v>
      </c>
      <c r="I56">
        <v>12</v>
      </c>
      <c r="J56">
        <v>118081</v>
      </c>
      <c r="K56" t="s">
        <v>18</v>
      </c>
      <c r="L56" t="s">
        <v>19</v>
      </c>
      <c r="M56">
        <v>79</v>
      </c>
      <c r="N56">
        <f>MONTH(QHSE[[#This Row],[Date]])</f>
        <v>2</v>
      </c>
    </row>
    <row r="57" spans="1:14" x14ac:dyDescent="0.3">
      <c r="A57" t="s">
        <v>286</v>
      </c>
      <c r="B57" t="s">
        <v>287</v>
      </c>
      <c r="C57" s="13" t="s">
        <v>825</v>
      </c>
      <c r="D57" t="s">
        <v>22</v>
      </c>
      <c r="E57" t="s">
        <v>15</v>
      </c>
      <c r="F57" t="s">
        <v>40</v>
      </c>
      <c r="G57">
        <v>2</v>
      </c>
      <c r="H57" t="s">
        <v>49</v>
      </c>
      <c r="I57">
        <v>0</v>
      </c>
      <c r="J57">
        <v>247805</v>
      </c>
      <c r="K57" t="s">
        <v>30</v>
      </c>
      <c r="L57" t="s">
        <v>19</v>
      </c>
      <c r="M57">
        <v>77</v>
      </c>
      <c r="N57">
        <f>MONTH(QHSE[[#This Row],[Date]])</f>
        <v>2</v>
      </c>
    </row>
    <row r="58" spans="1:14" x14ac:dyDescent="0.3">
      <c r="A58" t="s">
        <v>288</v>
      </c>
      <c r="B58" t="s">
        <v>287</v>
      </c>
      <c r="C58" s="13" t="s">
        <v>825</v>
      </c>
      <c r="D58" t="s">
        <v>22</v>
      </c>
      <c r="E58" t="s">
        <v>60</v>
      </c>
      <c r="F58" t="s">
        <v>45</v>
      </c>
      <c r="G58">
        <v>2</v>
      </c>
      <c r="H58" t="s">
        <v>53</v>
      </c>
      <c r="I58">
        <v>0</v>
      </c>
      <c r="J58">
        <v>175235</v>
      </c>
      <c r="K58" t="s">
        <v>30</v>
      </c>
      <c r="L58" t="s">
        <v>31</v>
      </c>
      <c r="M58">
        <v>81</v>
      </c>
      <c r="N58">
        <f>MONTH(QHSE[[#This Row],[Date]])</f>
        <v>2</v>
      </c>
    </row>
    <row r="59" spans="1:14" x14ac:dyDescent="0.3">
      <c r="A59" t="s">
        <v>289</v>
      </c>
      <c r="B59" t="s">
        <v>290</v>
      </c>
      <c r="C59" s="13" t="s">
        <v>825</v>
      </c>
      <c r="D59" t="s">
        <v>27</v>
      </c>
      <c r="E59" t="s">
        <v>39</v>
      </c>
      <c r="F59" t="s">
        <v>40</v>
      </c>
      <c r="G59">
        <v>1</v>
      </c>
      <c r="H59" t="s">
        <v>49</v>
      </c>
      <c r="I59">
        <v>0</v>
      </c>
      <c r="J59">
        <v>31252</v>
      </c>
      <c r="K59" t="s">
        <v>18</v>
      </c>
      <c r="L59" t="s">
        <v>31</v>
      </c>
      <c r="M59">
        <v>88</v>
      </c>
      <c r="N59">
        <f>MONTH(QHSE[[#This Row],[Date]])</f>
        <v>2</v>
      </c>
    </row>
    <row r="60" spans="1:14" x14ac:dyDescent="0.3">
      <c r="A60" t="s">
        <v>291</v>
      </c>
      <c r="B60" t="s">
        <v>290</v>
      </c>
      <c r="C60" s="13" t="s">
        <v>825</v>
      </c>
      <c r="D60" t="s">
        <v>58</v>
      </c>
      <c r="E60" t="s">
        <v>25</v>
      </c>
      <c r="F60" t="s">
        <v>45</v>
      </c>
      <c r="G60">
        <v>2</v>
      </c>
      <c r="H60" t="s">
        <v>24</v>
      </c>
      <c r="I60">
        <v>0</v>
      </c>
      <c r="J60">
        <v>217630</v>
      </c>
      <c r="K60" t="s">
        <v>30</v>
      </c>
      <c r="L60" t="s">
        <v>19</v>
      </c>
      <c r="M60">
        <v>72</v>
      </c>
      <c r="N60">
        <f>MONTH(QHSE[[#This Row],[Date]])</f>
        <v>2</v>
      </c>
    </row>
    <row r="61" spans="1:14" x14ac:dyDescent="0.3">
      <c r="A61" t="s">
        <v>292</v>
      </c>
      <c r="B61" t="s">
        <v>290</v>
      </c>
      <c r="C61" s="13" t="s">
        <v>825</v>
      </c>
      <c r="D61" t="s">
        <v>33</v>
      </c>
      <c r="E61" t="s">
        <v>15</v>
      </c>
      <c r="F61" t="s">
        <v>45</v>
      </c>
      <c r="G61">
        <v>1</v>
      </c>
      <c r="H61" t="s">
        <v>77</v>
      </c>
      <c r="I61">
        <v>0</v>
      </c>
      <c r="J61">
        <v>21411</v>
      </c>
      <c r="K61" t="s">
        <v>18</v>
      </c>
      <c r="L61" t="s">
        <v>23</v>
      </c>
      <c r="M61">
        <v>91</v>
      </c>
      <c r="N61">
        <f>MONTH(QHSE[[#This Row],[Date]])</f>
        <v>2</v>
      </c>
    </row>
    <row r="62" spans="1:14" x14ac:dyDescent="0.3">
      <c r="A62" t="s">
        <v>293</v>
      </c>
      <c r="B62" t="s">
        <v>290</v>
      </c>
      <c r="C62" s="13" t="s">
        <v>825</v>
      </c>
      <c r="D62" t="s">
        <v>22</v>
      </c>
      <c r="E62" t="s">
        <v>15</v>
      </c>
      <c r="F62" t="s">
        <v>16</v>
      </c>
      <c r="G62">
        <v>4</v>
      </c>
      <c r="H62" t="s">
        <v>49</v>
      </c>
      <c r="I62">
        <v>10</v>
      </c>
      <c r="J62">
        <v>2716730</v>
      </c>
      <c r="K62" t="s">
        <v>30</v>
      </c>
      <c r="L62" t="s">
        <v>31</v>
      </c>
      <c r="M62">
        <v>87</v>
      </c>
      <c r="N62">
        <f>MONTH(QHSE[[#This Row],[Date]])</f>
        <v>2</v>
      </c>
    </row>
    <row r="63" spans="1:14" x14ac:dyDescent="0.3">
      <c r="A63" t="s">
        <v>294</v>
      </c>
      <c r="B63" t="s">
        <v>295</v>
      </c>
      <c r="C63" s="13" t="s">
        <v>825</v>
      </c>
      <c r="D63" t="s">
        <v>27</v>
      </c>
      <c r="E63" t="s">
        <v>39</v>
      </c>
      <c r="F63" t="s">
        <v>16</v>
      </c>
      <c r="G63">
        <v>3</v>
      </c>
      <c r="H63" t="s">
        <v>24</v>
      </c>
      <c r="I63">
        <v>11</v>
      </c>
      <c r="J63">
        <v>450832</v>
      </c>
      <c r="K63" t="s">
        <v>30</v>
      </c>
      <c r="L63" t="s">
        <v>23</v>
      </c>
      <c r="M63">
        <v>72</v>
      </c>
      <c r="N63">
        <f>MONTH(QHSE[[#This Row],[Date]])</f>
        <v>2</v>
      </c>
    </row>
    <row r="64" spans="1:14" x14ac:dyDescent="0.3">
      <c r="A64" t="s">
        <v>296</v>
      </c>
      <c r="B64" t="s">
        <v>295</v>
      </c>
      <c r="C64" s="13" t="s">
        <v>825</v>
      </c>
      <c r="D64" t="s">
        <v>27</v>
      </c>
      <c r="E64" t="s">
        <v>39</v>
      </c>
      <c r="F64" t="s">
        <v>40</v>
      </c>
      <c r="G64">
        <v>2</v>
      </c>
      <c r="H64" t="s">
        <v>77</v>
      </c>
      <c r="I64">
        <v>0</v>
      </c>
      <c r="J64">
        <v>207832</v>
      </c>
      <c r="K64" t="s">
        <v>41</v>
      </c>
      <c r="L64" t="s">
        <v>19</v>
      </c>
      <c r="M64">
        <v>72</v>
      </c>
      <c r="N64">
        <f>MONTH(QHSE[[#This Row],[Date]])</f>
        <v>2</v>
      </c>
    </row>
    <row r="65" spans="1:14" x14ac:dyDescent="0.3">
      <c r="A65" t="s">
        <v>297</v>
      </c>
      <c r="B65" t="s">
        <v>295</v>
      </c>
      <c r="C65" s="13" t="s">
        <v>825</v>
      </c>
      <c r="D65" t="s">
        <v>33</v>
      </c>
      <c r="E65" t="s">
        <v>60</v>
      </c>
      <c r="F65" t="s">
        <v>28</v>
      </c>
      <c r="G65">
        <v>3</v>
      </c>
      <c r="H65" t="s">
        <v>77</v>
      </c>
      <c r="I65">
        <v>0</v>
      </c>
      <c r="J65">
        <v>680012</v>
      </c>
      <c r="K65" t="s">
        <v>41</v>
      </c>
      <c r="L65" t="s">
        <v>31</v>
      </c>
      <c r="M65">
        <v>90</v>
      </c>
      <c r="N65">
        <f>MONTH(QHSE[[#This Row],[Date]])</f>
        <v>2</v>
      </c>
    </row>
    <row r="66" spans="1:14" x14ac:dyDescent="0.3">
      <c r="A66" t="s">
        <v>298</v>
      </c>
      <c r="B66" t="s">
        <v>299</v>
      </c>
      <c r="C66" s="13" t="s">
        <v>825</v>
      </c>
      <c r="D66" t="s">
        <v>58</v>
      </c>
      <c r="E66" t="s">
        <v>23</v>
      </c>
      <c r="F66" t="s">
        <v>28</v>
      </c>
      <c r="G66">
        <v>2</v>
      </c>
      <c r="H66" t="s">
        <v>53</v>
      </c>
      <c r="I66">
        <v>0</v>
      </c>
      <c r="J66">
        <v>181765</v>
      </c>
      <c r="K66" t="s">
        <v>18</v>
      </c>
      <c r="L66" t="s">
        <v>25</v>
      </c>
      <c r="M66">
        <v>77</v>
      </c>
      <c r="N66">
        <f>MONTH(QHSE[[#This Row],[Date]])</f>
        <v>2</v>
      </c>
    </row>
    <row r="67" spans="1:14" x14ac:dyDescent="0.3">
      <c r="A67" t="s">
        <v>300</v>
      </c>
      <c r="B67" t="s">
        <v>299</v>
      </c>
      <c r="C67" s="13" t="s">
        <v>825</v>
      </c>
      <c r="D67" t="s">
        <v>58</v>
      </c>
      <c r="E67" t="s">
        <v>39</v>
      </c>
      <c r="F67" t="s">
        <v>16</v>
      </c>
      <c r="G67">
        <v>2</v>
      </c>
      <c r="H67" t="s">
        <v>17</v>
      </c>
      <c r="I67">
        <v>9</v>
      </c>
      <c r="J67">
        <v>100461</v>
      </c>
      <c r="K67" t="s">
        <v>18</v>
      </c>
      <c r="L67" t="s">
        <v>19</v>
      </c>
      <c r="M67">
        <v>92</v>
      </c>
      <c r="N67">
        <f>MONTH(QHSE[[#This Row],[Date]])</f>
        <v>2</v>
      </c>
    </row>
    <row r="68" spans="1:14" x14ac:dyDescent="0.3">
      <c r="A68" t="s">
        <v>301</v>
      </c>
      <c r="B68" t="s">
        <v>302</v>
      </c>
      <c r="C68" s="13" t="s">
        <v>825</v>
      </c>
      <c r="D68" t="s">
        <v>27</v>
      </c>
      <c r="E68" t="s">
        <v>39</v>
      </c>
      <c r="F68" t="s">
        <v>40</v>
      </c>
      <c r="G68">
        <v>2</v>
      </c>
      <c r="H68" t="s">
        <v>96</v>
      </c>
      <c r="I68">
        <v>0</v>
      </c>
      <c r="J68">
        <v>94045</v>
      </c>
      <c r="K68" t="s">
        <v>101</v>
      </c>
      <c r="L68" t="s">
        <v>46</v>
      </c>
      <c r="M68">
        <v>89</v>
      </c>
      <c r="N68">
        <f>MONTH(QHSE[[#This Row],[Date]])</f>
        <v>2</v>
      </c>
    </row>
    <row r="69" spans="1:14" x14ac:dyDescent="0.3">
      <c r="A69" t="s">
        <v>303</v>
      </c>
      <c r="B69" t="s">
        <v>302</v>
      </c>
      <c r="C69" s="13" t="s">
        <v>825</v>
      </c>
      <c r="D69" t="s">
        <v>27</v>
      </c>
      <c r="E69" t="s">
        <v>36</v>
      </c>
      <c r="F69" t="s">
        <v>28</v>
      </c>
      <c r="G69">
        <v>3</v>
      </c>
      <c r="H69" t="s">
        <v>49</v>
      </c>
      <c r="I69">
        <v>0</v>
      </c>
      <c r="J69">
        <v>616280</v>
      </c>
      <c r="K69" t="s">
        <v>18</v>
      </c>
      <c r="L69" t="s">
        <v>23</v>
      </c>
      <c r="M69">
        <v>80</v>
      </c>
      <c r="N69">
        <f>MONTH(QHSE[[#This Row],[Date]])</f>
        <v>2</v>
      </c>
    </row>
    <row r="70" spans="1:14" x14ac:dyDescent="0.3">
      <c r="A70" t="s">
        <v>304</v>
      </c>
      <c r="B70" t="s">
        <v>302</v>
      </c>
      <c r="C70" s="13" t="s">
        <v>825</v>
      </c>
      <c r="D70" t="s">
        <v>22</v>
      </c>
      <c r="E70" t="s">
        <v>25</v>
      </c>
      <c r="F70" t="s">
        <v>40</v>
      </c>
      <c r="G70">
        <v>2</v>
      </c>
      <c r="H70" t="s">
        <v>77</v>
      </c>
      <c r="I70">
        <v>0</v>
      </c>
      <c r="J70">
        <v>197513</v>
      </c>
      <c r="K70" t="s">
        <v>41</v>
      </c>
      <c r="L70" t="s">
        <v>19</v>
      </c>
      <c r="M70">
        <v>66</v>
      </c>
      <c r="N70">
        <f>MONTH(QHSE[[#This Row],[Date]])</f>
        <v>2</v>
      </c>
    </row>
    <row r="71" spans="1:14" x14ac:dyDescent="0.3">
      <c r="A71" t="s">
        <v>305</v>
      </c>
      <c r="B71" t="s">
        <v>302</v>
      </c>
      <c r="C71" s="13" t="s">
        <v>825</v>
      </c>
      <c r="D71" t="s">
        <v>22</v>
      </c>
      <c r="E71" t="s">
        <v>36</v>
      </c>
      <c r="F71" t="s">
        <v>40</v>
      </c>
      <c r="G71">
        <v>2</v>
      </c>
      <c r="H71" t="s">
        <v>49</v>
      </c>
      <c r="I71">
        <v>0</v>
      </c>
      <c r="J71">
        <v>155047</v>
      </c>
      <c r="K71" t="s">
        <v>18</v>
      </c>
      <c r="L71" t="s">
        <v>19</v>
      </c>
      <c r="M71">
        <v>82</v>
      </c>
      <c r="N71">
        <f>MONTH(QHSE[[#This Row],[Date]])</f>
        <v>2</v>
      </c>
    </row>
    <row r="72" spans="1:14" x14ac:dyDescent="0.3">
      <c r="A72" t="s">
        <v>306</v>
      </c>
      <c r="B72" t="s">
        <v>307</v>
      </c>
      <c r="C72" s="13" t="s">
        <v>825</v>
      </c>
      <c r="D72" t="s">
        <v>58</v>
      </c>
      <c r="E72" t="s">
        <v>36</v>
      </c>
      <c r="F72" t="s">
        <v>40</v>
      </c>
      <c r="G72">
        <v>1</v>
      </c>
      <c r="H72" t="s">
        <v>17</v>
      </c>
      <c r="I72">
        <v>0</v>
      </c>
      <c r="J72">
        <v>11305</v>
      </c>
      <c r="K72" t="s">
        <v>30</v>
      </c>
      <c r="L72" t="s">
        <v>31</v>
      </c>
      <c r="M72">
        <v>81</v>
      </c>
      <c r="N72">
        <f>MONTH(QHSE[[#This Row],[Date]])</f>
        <v>2</v>
      </c>
    </row>
    <row r="73" spans="1:14" x14ac:dyDescent="0.3">
      <c r="A73" t="s">
        <v>308</v>
      </c>
      <c r="B73" t="s">
        <v>309</v>
      </c>
      <c r="C73" s="13" t="s">
        <v>825</v>
      </c>
      <c r="D73" t="s">
        <v>58</v>
      </c>
      <c r="E73" t="s">
        <v>15</v>
      </c>
      <c r="F73" t="s">
        <v>72</v>
      </c>
      <c r="G73">
        <v>2</v>
      </c>
      <c r="H73" t="s">
        <v>96</v>
      </c>
      <c r="I73">
        <v>0</v>
      </c>
      <c r="J73">
        <v>223710</v>
      </c>
      <c r="K73" t="s">
        <v>41</v>
      </c>
      <c r="L73" t="s">
        <v>31</v>
      </c>
      <c r="M73">
        <v>94</v>
      </c>
      <c r="N73">
        <f>MONTH(QHSE[[#This Row],[Date]])</f>
        <v>2</v>
      </c>
    </row>
    <row r="74" spans="1:14" x14ac:dyDescent="0.3">
      <c r="A74" t="s">
        <v>310</v>
      </c>
      <c r="B74" t="s">
        <v>309</v>
      </c>
      <c r="C74" s="13" t="s">
        <v>825</v>
      </c>
      <c r="D74" t="s">
        <v>33</v>
      </c>
      <c r="E74" t="s">
        <v>23</v>
      </c>
      <c r="F74" t="s">
        <v>45</v>
      </c>
      <c r="G74">
        <v>1</v>
      </c>
      <c r="H74" t="s">
        <v>17</v>
      </c>
      <c r="I74">
        <v>0</v>
      </c>
      <c r="J74">
        <v>12587</v>
      </c>
      <c r="K74" t="s">
        <v>101</v>
      </c>
      <c r="L74" t="s">
        <v>31</v>
      </c>
      <c r="M74">
        <v>77</v>
      </c>
      <c r="N74">
        <f>MONTH(QHSE[[#This Row],[Date]])</f>
        <v>2</v>
      </c>
    </row>
    <row r="75" spans="1:14" x14ac:dyDescent="0.3">
      <c r="A75" t="s">
        <v>311</v>
      </c>
      <c r="B75" t="s">
        <v>309</v>
      </c>
      <c r="C75" s="13" t="s">
        <v>825</v>
      </c>
      <c r="D75" t="s">
        <v>33</v>
      </c>
      <c r="E75" t="s">
        <v>25</v>
      </c>
      <c r="F75" t="s">
        <v>40</v>
      </c>
      <c r="G75">
        <v>1</v>
      </c>
      <c r="H75" t="s">
        <v>96</v>
      </c>
      <c r="I75">
        <v>0</v>
      </c>
      <c r="J75">
        <v>48232</v>
      </c>
      <c r="K75" t="s">
        <v>18</v>
      </c>
      <c r="L75" t="s">
        <v>46</v>
      </c>
      <c r="M75">
        <v>96</v>
      </c>
      <c r="N75">
        <f>MONTH(QHSE[[#This Row],[Date]])</f>
        <v>2</v>
      </c>
    </row>
    <row r="76" spans="1:14" x14ac:dyDescent="0.3">
      <c r="A76" t="s">
        <v>312</v>
      </c>
      <c r="B76" t="s">
        <v>313</v>
      </c>
      <c r="C76" s="13" t="s">
        <v>825</v>
      </c>
      <c r="D76" t="s">
        <v>27</v>
      </c>
      <c r="E76" t="s">
        <v>60</v>
      </c>
      <c r="F76" t="s">
        <v>72</v>
      </c>
      <c r="G76">
        <v>2</v>
      </c>
      <c r="H76" t="s">
        <v>29</v>
      </c>
      <c r="I76">
        <v>0</v>
      </c>
      <c r="J76">
        <v>55028</v>
      </c>
      <c r="K76" t="s">
        <v>30</v>
      </c>
      <c r="L76" t="s">
        <v>31</v>
      </c>
      <c r="M76">
        <v>93</v>
      </c>
      <c r="N76">
        <f>MONTH(QHSE[[#This Row],[Date]])</f>
        <v>2</v>
      </c>
    </row>
    <row r="77" spans="1:14" x14ac:dyDescent="0.3">
      <c r="A77" t="s">
        <v>314</v>
      </c>
      <c r="B77" t="s">
        <v>315</v>
      </c>
      <c r="C77" s="13" t="s">
        <v>825</v>
      </c>
      <c r="D77" t="s">
        <v>14</v>
      </c>
      <c r="E77" t="s">
        <v>60</v>
      </c>
      <c r="F77" t="s">
        <v>16</v>
      </c>
      <c r="G77">
        <v>4</v>
      </c>
      <c r="H77" t="s">
        <v>96</v>
      </c>
      <c r="I77">
        <v>7</v>
      </c>
      <c r="J77">
        <v>3777801</v>
      </c>
      <c r="K77" t="s">
        <v>18</v>
      </c>
      <c r="L77" t="s">
        <v>19</v>
      </c>
      <c r="M77">
        <v>94</v>
      </c>
      <c r="N77">
        <f>MONTH(QHSE[[#This Row],[Date]])</f>
        <v>2</v>
      </c>
    </row>
    <row r="78" spans="1:14" x14ac:dyDescent="0.3">
      <c r="A78" t="s">
        <v>316</v>
      </c>
      <c r="B78" t="s">
        <v>317</v>
      </c>
      <c r="C78" s="13" t="s">
        <v>825</v>
      </c>
      <c r="D78" t="s">
        <v>33</v>
      </c>
      <c r="E78" t="s">
        <v>39</v>
      </c>
      <c r="F78" t="s">
        <v>28</v>
      </c>
      <c r="G78">
        <v>3</v>
      </c>
      <c r="H78" t="s">
        <v>53</v>
      </c>
      <c r="I78">
        <v>0</v>
      </c>
      <c r="J78">
        <v>311655</v>
      </c>
      <c r="K78" t="s">
        <v>18</v>
      </c>
      <c r="L78" t="s">
        <v>31</v>
      </c>
      <c r="M78">
        <v>82</v>
      </c>
      <c r="N78">
        <f>MONTH(QHSE[[#This Row],[Date]])</f>
        <v>2</v>
      </c>
    </row>
    <row r="79" spans="1:14" x14ac:dyDescent="0.3">
      <c r="A79" t="s">
        <v>318</v>
      </c>
      <c r="B79" t="s">
        <v>319</v>
      </c>
      <c r="C79" s="13" t="s">
        <v>825</v>
      </c>
      <c r="D79" t="s">
        <v>58</v>
      </c>
      <c r="E79" t="s">
        <v>39</v>
      </c>
      <c r="F79" t="s">
        <v>45</v>
      </c>
      <c r="G79">
        <v>2</v>
      </c>
      <c r="H79" t="s">
        <v>17</v>
      </c>
      <c r="I79">
        <v>0</v>
      </c>
      <c r="J79">
        <v>232135</v>
      </c>
      <c r="K79" t="s">
        <v>30</v>
      </c>
      <c r="L79" t="s">
        <v>25</v>
      </c>
      <c r="M79">
        <v>77</v>
      </c>
      <c r="N79">
        <f>MONTH(QHSE[[#This Row],[Date]])</f>
        <v>2</v>
      </c>
    </row>
    <row r="80" spans="1:14" x14ac:dyDescent="0.3">
      <c r="A80" t="s">
        <v>320</v>
      </c>
      <c r="B80" t="s">
        <v>321</v>
      </c>
      <c r="C80" s="13" t="s">
        <v>825</v>
      </c>
      <c r="D80" t="s">
        <v>22</v>
      </c>
      <c r="E80" t="s">
        <v>60</v>
      </c>
      <c r="F80" t="s">
        <v>40</v>
      </c>
      <c r="G80">
        <v>1</v>
      </c>
      <c r="H80" t="s">
        <v>77</v>
      </c>
      <c r="I80">
        <v>0</v>
      </c>
      <c r="J80">
        <v>28577</v>
      </c>
      <c r="K80" t="s">
        <v>30</v>
      </c>
      <c r="L80" t="s">
        <v>31</v>
      </c>
      <c r="M80">
        <v>85</v>
      </c>
      <c r="N80">
        <f>MONTH(QHSE[[#This Row],[Date]])</f>
        <v>2</v>
      </c>
    </row>
    <row r="81" spans="1:14" x14ac:dyDescent="0.3">
      <c r="A81" t="s">
        <v>322</v>
      </c>
      <c r="B81" t="s">
        <v>323</v>
      </c>
      <c r="C81" s="13" t="s">
        <v>825</v>
      </c>
      <c r="D81" t="s">
        <v>27</v>
      </c>
      <c r="E81" t="s">
        <v>39</v>
      </c>
      <c r="F81" t="s">
        <v>28</v>
      </c>
      <c r="G81">
        <v>3</v>
      </c>
      <c r="H81" t="s">
        <v>29</v>
      </c>
      <c r="I81">
        <v>0</v>
      </c>
      <c r="J81">
        <v>353142</v>
      </c>
      <c r="K81" t="s">
        <v>101</v>
      </c>
      <c r="L81" t="s">
        <v>46</v>
      </c>
      <c r="M81">
        <v>94</v>
      </c>
      <c r="N81">
        <f>MONTH(QHSE[[#This Row],[Date]])</f>
        <v>2</v>
      </c>
    </row>
    <row r="82" spans="1:14" x14ac:dyDescent="0.3">
      <c r="A82" t="s">
        <v>324</v>
      </c>
      <c r="B82" t="s">
        <v>323</v>
      </c>
      <c r="C82" s="13" t="s">
        <v>825</v>
      </c>
      <c r="D82" t="s">
        <v>22</v>
      </c>
      <c r="E82" t="s">
        <v>23</v>
      </c>
      <c r="F82" t="s">
        <v>45</v>
      </c>
      <c r="G82">
        <v>1</v>
      </c>
      <c r="H82" t="s">
        <v>53</v>
      </c>
      <c r="I82">
        <v>0</v>
      </c>
      <c r="J82">
        <v>23632</v>
      </c>
      <c r="K82" t="s">
        <v>18</v>
      </c>
      <c r="L82" t="s">
        <v>25</v>
      </c>
      <c r="M82">
        <v>85</v>
      </c>
      <c r="N82">
        <f>MONTH(QHSE[[#This Row],[Date]])</f>
        <v>2</v>
      </c>
    </row>
    <row r="83" spans="1:14" x14ac:dyDescent="0.3">
      <c r="A83" t="s">
        <v>325</v>
      </c>
      <c r="B83" t="s">
        <v>326</v>
      </c>
      <c r="C83" s="13" t="s">
        <v>825</v>
      </c>
      <c r="D83" t="s">
        <v>33</v>
      </c>
      <c r="E83" t="s">
        <v>36</v>
      </c>
      <c r="F83" t="s">
        <v>40</v>
      </c>
      <c r="G83">
        <v>2</v>
      </c>
      <c r="H83" t="s">
        <v>49</v>
      </c>
      <c r="I83">
        <v>0</v>
      </c>
      <c r="J83">
        <v>82964</v>
      </c>
      <c r="K83" t="s">
        <v>18</v>
      </c>
      <c r="L83" t="s">
        <v>19</v>
      </c>
      <c r="M83">
        <v>81</v>
      </c>
      <c r="N83">
        <f>MONTH(QHSE[[#This Row],[Date]])</f>
        <v>2</v>
      </c>
    </row>
    <row r="84" spans="1:14" x14ac:dyDescent="0.3">
      <c r="A84" t="s">
        <v>327</v>
      </c>
      <c r="B84" t="s">
        <v>326</v>
      </c>
      <c r="C84" s="13" t="s">
        <v>825</v>
      </c>
      <c r="D84" t="s">
        <v>14</v>
      </c>
      <c r="E84" t="s">
        <v>39</v>
      </c>
      <c r="F84" t="s">
        <v>28</v>
      </c>
      <c r="G84">
        <v>2</v>
      </c>
      <c r="H84" t="s">
        <v>17</v>
      </c>
      <c r="I84">
        <v>0</v>
      </c>
      <c r="J84">
        <v>84116</v>
      </c>
      <c r="K84" t="s">
        <v>18</v>
      </c>
      <c r="L84" t="s">
        <v>19</v>
      </c>
      <c r="M84">
        <v>83</v>
      </c>
      <c r="N84">
        <f>MONTH(QHSE[[#This Row],[Date]])</f>
        <v>2</v>
      </c>
    </row>
    <row r="85" spans="1:14" x14ac:dyDescent="0.3">
      <c r="A85" t="s">
        <v>328</v>
      </c>
      <c r="B85" t="s">
        <v>326</v>
      </c>
      <c r="C85" s="13" t="s">
        <v>825</v>
      </c>
      <c r="D85" t="s">
        <v>22</v>
      </c>
      <c r="E85" t="s">
        <v>15</v>
      </c>
      <c r="F85" t="s">
        <v>45</v>
      </c>
      <c r="G85">
        <v>2</v>
      </c>
      <c r="H85" t="s">
        <v>24</v>
      </c>
      <c r="I85">
        <v>0</v>
      </c>
      <c r="J85">
        <v>239621</v>
      </c>
      <c r="K85" t="s">
        <v>18</v>
      </c>
      <c r="L85" t="s">
        <v>23</v>
      </c>
      <c r="M85">
        <v>79</v>
      </c>
      <c r="N85">
        <f>MONTH(QHSE[[#This Row],[Date]])</f>
        <v>2</v>
      </c>
    </row>
    <row r="86" spans="1:14" x14ac:dyDescent="0.3">
      <c r="A86" t="s">
        <v>329</v>
      </c>
      <c r="B86" t="s">
        <v>326</v>
      </c>
      <c r="C86" s="13" t="s">
        <v>825</v>
      </c>
      <c r="D86" t="s">
        <v>14</v>
      </c>
      <c r="E86" t="s">
        <v>39</v>
      </c>
      <c r="F86" t="s">
        <v>28</v>
      </c>
      <c r="G86">
        <v>3</v>
      </c>
      <c r="H86" t="s">
        <v>24</v>
      </c>
      <c r="I86">
        <v>0</v>
      </c>
      <c r="J86">
        <v>583934</v>
      </c>
      <c r="K86" t="s">
        <v>18</v>
      </c>
      <c r="L86" t="s">
        <v>25</v>
      </c>
      <c r="M86">
        <v>73</v>
      </c>
      <c r="N86">
        <f>MONTH(QHSE[[#This Row],[Date]])</f>
        <v>2</v>
      </c>
    </row>
    <row r="87" spans="1:14" x14ac:dyDescent="0.3">
      <c r="A87" t="s">
        <v>330</v>
      </c>
      <c r="B87" t="s">
        <v>331</v>
      </c>
      <c r="C87" s="13" t="s">
        <v>825</v>
      </c>
      <c r="D87" t="s">
        <v>14</v>
      </c>
      <c r="E87" t="s">
        <v>25</v>
      </c>
      <c r="F87" t="s">
        <v>28</v>
      </c>
      <c r="G87">
        <v>2</v>
      </c>
      <c r="H87" t="s">
        <v>77</v>
      </c>
      <c r="I87">
        <v>0</v>
      </c>
      <c r="J87">
        <v>207760</v>
      </c>
      <c r="K87" t="s">
        <v>30</v>
      </c>
      <c r="L87" t="s">
        <v>23</v>
      </c>
      <c r="M87">
        <v>74</v>
      </c>
      <c r="N87">
        <f>MONTH(QHSE[[#This Row],[Date]])</f>
        <v>2</v>
      </c>
    </row>
    <row r="88" spans="1:14" x14ac:dyDescent="0.3">
      <c r="A88" t="s">
        <v>332</v>
      </c>
      <c r="B88" t="s">
        <v>333</v>
      </c>
      <c r="C88" s="13" t="s">
        <v>825</v>
      </c>
      <c r="D88" t="s">
        <v>27</v>
      </c>
      <c r="E88" t="s">
        <v>23</v>
      </c>
      <c r="F88" t="s">
        <v>40</v>
      </c>
      <c r="G88">
        <v>1</v>
      </c>
      <c r="H88" t="s">
        <v>96</v>
      </c>
      <c r="I88">
        <v>0</v>
      </c>
      <c r="J88">
        <v>35584</v>
      </c>
      <c r="K88" t="s">
        <v>18</v>
      </c>
      <c r="L88" t="s">
        <v>25</v>
      </c>
      <c r="M88">
        <v>95</v>
      </c>
      <c r="N88">
        <f>MONTH(QHSE[[#This Row],[Date]])</f>
        <v>2</v>
      </c>
    </row>
    <row r="89" spans="1:14" x14ac:dyDescent="0.3">
      <c r="A89" t="s">
        <v>334</v>
      </c>
      <c r="B89" t="s">
        <v>333</v>
      </c>
      <c r="C89" s="13" t="s">
        <v>825</v>
      </c>
      <c r="D89" t="s">
        <v>22</v>
      </c>
      <c r="E89" t="s">
        <v>25</v>
      </c>
      <c r="F89" t="s">
        <v>28</v>
      </c>
      <c r="G89">
        <v>3</v>
      </c>
      <c r="H89" t="s">
        <v>77</v>
      </c>
      <c r="I89">
        <v>0</v>
      </c>
      <c r="J89">
        <v>757319</v>
      </c>
      <c r="K89" t="s">
        <v>101</v>
      </c>
      <c r="L89" t="s">
        <v>25</v>
      </c>
      <c r="M89">
        <v>87</v>
      </c>
      <c r="N89">
        <f>MONTH(QHSE[[#This Row],[Date]])</f>
        <v>2</v>
      </c>
    </row>
    <row r="90" spans="1:14" x14ac:dyDescent="0.3">
      <c r="A90" t="s">
        <v>335</v>
      </c>
      <c r="B90" t="s">
        <v>333</v>
      </c>
      <c r="C90" s="13" t="s">
        <v>825</v>
      </c>
      <c r="D90" t="s">
        <v>14</v>
      </c>
      <c r="E90" t="s">
        <v>25</v>
      </c>
      <c r="F90" t="s">
        <v>28</v>
      </c>
      <c r="G90">
        <v>2</v>
      </c>
      <c r="H90" t="s">
        <v>24</v>
      </c>
      <c r="I90">
        <v>0</v>
      </c>
      <c r="J90">
        <v>76338</v>
      </c>
      <c r="K90" t="s">
        <v>101</v>
      </c>
      <c r="L90" t="s">
        <v>46</v>
      </c>
      <c r="M90">
        <v>94</v>
      </c>
      <c r="N90">
        <f>MONTH(QHSE[[#This Row],[Date]])</f>
        <v>2</v>
      </c>
    </row>
    <row r="91" spans="1:14" x14ac:dyDescent="0.3">
      <c r="A91" t="s">
        <v>336</v>
      </c>
      <c r="B91" t="s">
        <v>333</v>
      </c>
      <c r="C91" s="13" t="s">
        <v>825</v>
      </c>
      <c r="D91" t="s">
        <v>27</v>
      </c>
      <c r="E91" t="s">
        <v>15</v>
      </c>
      <c r="F91" t="s">
        <v>40</v>
      </c>
      <c r="G91">
        <v>1</v>
      </c>
      <c r="H91" t="s">
        <v>49</v>
      </c>
      <c r="I91">
        <v>0</v>
      </c>
      <c r="J91">
        <v>19367</v>
      </c>
      <c r="K91" t="s">
        <v>30</v>
      </c>
      <c r="L91" t="s">
        <v>23</v>
      </c>
      <c r="M91">
        <v>97</v>
      </c>
      <c r="N91">
        <f>MONTH(QHSE[[#This Row],[Date]])</f>
        <v>2</v>
      </c>
    </row>
    <row r="92" spans="1:14" x14ac:dyDescent="0.3">
      <c r="A92" t="s">
        <v>337</v>
      </c>
      <c r="B92" t="s">
        <v>333</v>
      </c>
      <c r="C92" s="13" t="s">
        <v>825</v>
      </c>
      <c r="D92" t="s">
        <v>14</v>
      </c>
      <c r="E92" t="s">
        <v>23</v>
      </c>
      <c r="F92" t="s">
        <v>16</v>
      </c>
      <c r="G92">
        <v>2</v>
      </c>
      <c r="H92" t="s">
        <v>29</v>
      </c>
      <c r="I92">
        <v>6</v>
      </c>
      <c r="J92">
        <v>207350</v>
      </c>
      <c r="K92" t="s">
        <v>101</v>
      </c>
      <c r="L92" t="s">
        <v>46</v>
      </c>
      <c r="M92">
        <v>73</v>
      </c>
      <c r="N92">
        <f>MONTH(QHSE[[#This Row],[Date]])</f>
        <v>2</v>
      </c>
    </row>
    <row r="93" spans="1:14" x14ac:dyDescent="0.3">
      <c r="A93" t="s">
        <v>338</v>
      </c>
      <c r="B93" t="s">
        <v>339</v>
      </c>
      <c r="C93" s="13" t="s">
        <v>825</v>
      </c>
      <c r="D93" t="s">
        <v>27</v>
      </c>
      <c r="E93" t="s">
        <v>23</v>
      </c>
      <c r="F93" t="s">
        <v>40</v>
      </c>
      <c r="G93">
        <v>1</v>
      </c>
      <c r="H93" t="s">
        <v>29</v>
      </c>
      <c r="I93">
        <v>0</v>
      </c>
      <c r="J93">
        <v>48830</v>
      </c>
      <c r="K93" t="s">
        <v>30</v>
      </c>
      <c r="L93" t="s">
        <v>25</v>
      </c>
      <c r="M93">
        <v>65</v>
      </c>
      <c r="N93">
        <f>MONTH(QHSE[[#This Row],[Date]])</f>
        <v>2</v>
      </c>
    </row>
    <row r="94" spans="1:14" x14ac:dyDescent="0.3">
      <c r="A94" t="s">
        <v>340</v>
      </c>
      <c r="B94" t="s">
        <v>339</v>
      </c>
      <c r="C94" s="13" t="s">
        <v>825</v>
      </c>
      <c r="D94" t="s">
        <v>58</v>
      </c>
      <c r="E94" t="s">
        <v>23</v>
      </c>
      <c r="F94" t="s">
        <v>37</v>
      </c>
      <c r="G94">
        <v>2</v>
      </c>
      <c r="H94" t="s">
        <v>17</v>
      </c>
      <c r="I94">
        <v>0</v>
      </c>
      <c r="J94">
        <v>102535</v>
      </c>
      <c r="K94" t="s">
        <v>18</v>
      </c>
      <c r="L94" t="s">
        <v>19</v>
      </c>
      <c r="M94">
        <v>99</v>
      </c>
      <c r="N94">
        <f>MONTH(QHSE[[#This Row],[Date]])</f>
        <v>2</v>
      </c>
    </row>
    <row r="95" spans="1:14" x14ac:dyDescent="0.3">
      <c r="A95" t="s">
        <v>341</v>
      </c>
      <c r="B95" t="s">
        <v>342</v>
      </c>
      <c r="C95" s="13" t="s">
        <v>825</v>
      </c>
      <c r="D95" t="s">
        <v>27</v>
      </c>
      <c r="E95" t="s">
        <v>23</v>
      </c>
      <c r="F95" t="s">
        <v>72</v>
      </c>
      <c r="G95">
        <v>2</v>
      </c>
      <c r="H95" t="s">
        <v>29</v>
      </c>
      <c r="I95">
        <v>0</v>
      </c>
      <c r="J95">
        <v>104313</v>
      </c>
      <c r="K95" t="s">
        <v>18</v>
      </c>
      <c r="L95" t="s">
        <v>25</v>
      </c>
      <c r="M95">
        <v>75</v>
      </c>
      <c r="N95">
        <f>MONTH(QHSE[[#This Row],[Date]])</f>
        <v>2</v>
      </c>
    </row>
    <row r="96" spans="1:14" x14ac:dyDescent="0.3">
      <c r="A96" t="s">
        <v>343</v>
      </c>
      <c r="B96" t="s">
        <v>342</v>
      </c>
      <c r="C96" s="13" t="s">
        <v>825</v>
      </c>
      <c r="D96" t="s">
        <v>27</v>
      </c>
      <c r="E96" t="s">
        <v>23</v>
      </c>
      <c r="F96" t="s">
        <v>37</v>
      </c>
      <c r="G96">
        <v>1</v>
      </c>
      <c r="H96" t="s">
        <v>17</v>
      </c>
      <c r="I96">
        <v>0</v>
      </c>
      <c r="J96">
        <v>28915</v>
      </c>
      <c r="K96" t="s">
        <v>18</v>
      </c>
      <c r="L96" t="s">
        <v>46</v>
      </c>
      <c r="M96">
        <v>98</v>
      </c>
      <c r="N96">
        <f>MONTH(QHSE[[#This Row],[Date]])</f>
        <v>2</v>
      </c>
    </row>
    <row r="97" spans="1:14" x14ac:dyDescent="0.3">
      <c r="A97" t="s">
        <v>344</v>
      </c>
      <c r="B97" t="s">
        <v>345</v>
      </c>
      <c r="C97" s="13" t="s">
        <v>825</v>
      </c>
      <c r="D97" t="s">
        <v>58</v>
      </c>
      <c r="E97" t="s">
        <v>15</v>
      </c>
      <c r="F97" t="s">
        <v>37</v>
      </c>
      <c r="G97">
        <v>1</v>
      </c>
      <c r="H97" t="s">
        <v>17</v>
      </c>
      <c r="I97">
        <v>0</v>
      </c>
      <c r="J97">
        <v>49353</v>
      </c>
      <c r="K97" t="s">
        <v>18</v>
      </c>
      <c r="L97" t="s">
        <v>23</v>
      </c>
      <c r="M97">
        <v>80</v>
      </c>
      <c r="N97">
        <f>MONTH(QHSE[[#This Row],[Date]])</f>
        <v>2</v>
      </c>
    </row>
    <row r="98" spans="1:14" x14ac:dyDescent="0.3">
      <c r="A98" t="s">
        <v>346</v>
      </c>
      <c r="B98" t="s">
        <v>345</v>
      </c>
      <c r="C98" s="13" t="s">
        <v>825</v>
      </c>
      <c r="D98" t="s">
        <v>27</v>
      </c>
      <c r="E98" t="s">
        <v>39</v>
      </c>
      <c r="F98" t="s">
        <v>45</v>
      </c>
      <c r="G98">
        <v>1</v>
      </c>
      <c r="H98" t="s">
        <v>17</v>
      </c>
      <c r="I98">
        <v>0</v>
      </c>
      <c r="J98">
        <v>20758</v>
      </c>
      <c r="K98" t="s">
        <v>41</v>
      </c>
      <c r="L98" t="s">
        <v>23</v>
      </c>
      <c r="M98">
        <v>73</v>
      </c>
      <c r="N98">
        <f>MONTH(QHSE[[#This Row],[Date]])</f>
        <v>2</v>
      </c>
    </row>
    <row r="99" spans="1:14" x14ac:dyDescent="0.3">
      <c r="A99" t="s">
        <v>347</v>
      </c>
      <c r="B99" t="s">
        <v>348</v>
      </c>
      <c r="C99" s="13" t="s">
        <v>826</v>
      </c>
      <c r="D99" t="s">
        <v>22</v>
      </c>
      <c r="E99" t="s">
        <v>25</v>
      </c>
      <c r="F99" t="s">
        <v>40</v>
      </c>
      <c r="G99">
        <v>1</v>
      </c>
      <c r="H99" t="s">
        <v>24</v>
      </c>
      <c r="I99">
        <v>0</v>
      </c>
      <c r="J99">
        <v>26278</v>
      </c>
      <c r="K99" t="s">
        <v>18</v>
      </c>
      <c r="L99" t="s">
        <v>46</v>
      </c>
      <c r="M99">
        <v>96</v>
      </c>
      <c r="N99">
        <f>MONTH(QHSE[[#This Row],[Date]])</f>
        <v>3</v>
      </c>
    </row>
    <row r="100" spans="1:14" x14ac:dyDescent="0.3">
      <c r="A100" t="s">
        <v>349</v>
      </c>
      <c r="B100" t="s">
        <v>348</v>
      </c>
      <c r="C100" s="13" t="s">
        <v>826</v>
      </c>
      <c r="D100" t="s">
        <v>22</v>
      </c>
      <c r="E100" t="s">
        <v>23</v>
      </c>
      <c r="F100" t="s">
        <v>45</v>
      </c>
      <c r="G100">
        <v>2</v>
      </c>
      <c r="H100" t="s">
        <v>24</v>
      </c>
      <c r="I100">
        <v>0</v>
      </c>
      <c r="J100">
        <v>228296</v>
      </c>
      <c r="K100" t="s">
        <v>41</v>
      </c>
      <c r="L100" t="s">
        <v>23</v>
      </c>
      <c r="M100">
        <v>79</v>
      </c>
      <c r="N100">
        <f>MONTH(QHSE[[#This Row],[Date]])</f>
        <v>3</v>
      </c>
    </row>
    <row r="101" spans="1:14" x14ac:dyDescent="0.3">
      <c r="A101" t="s">
        <v>350</v>
      </c>
      <c r="B101" t="s">
        <v>348</v>
      </c>
      <c r="C101" s="13" t="s">
        <v>826</v>
      </c>
      <c r="D101" t="s">
        <v>14</v>
      </c>
      <c r="E101" t="s">
        <v>39</v>
      </c>
      <c r="F101" t="s">
        <v>40</v>
      </c>
      <c r="G101">
        <v>2</v>
      </c>
      <c r="H101" t="s">
        <v>96</v>
      </c>
      <c r="I101">
        <v>0</v>
      </c>
      <c r="J101">
        <v>50584</v>
      </c>
      <c r="K101" t="s">
        <v>30</v>
      </c>
      <c r="L101" t="s">
        <v>31</v>
      </c>
      <c r="M101">
        <v>76</v>
      </c>
      <c r="N101">
        <f>MONTH(QHSE[[#This Row],[Date]])</f>
        <v>3</v>
      </c>
    </row>
    <row r="102" spans="1:14" x14ac:dyDescent="0.3">
      <c r="A102" t="s">
        <v>351</v>
      </c>
      <c r="B102" t="s">
        <v>352</v>
      </c>
      <c r="C102" s="13" t="s">
        <v>826</v>
      </c>
      <c r="D102" t="s">
        <v>14</v>
      </c>
      <c r="E102" t="s">
        <v>39</v>
      </c>
      <c r="F102" t="s">
        <v>40</v>
      </c>
      <c r="G102">
        <v>1</v>
      </c>
      <c r="H102" t="s">
        <v>53</v>
      </c>
      <c r="I102">
        <v>0</v>
      </c>
      <c r="J102">
        <v>11590</v>
      </c>
      <c r="K102" t="s">
        <v>18</v>
      </c>
      <c r="L102" t="s">
        <v>19</v>
      </c>
      <c r="M102">
        <v>97</v>
      </c>
      <c r="N102">
        <f>MONTH(QHSE[[#This Row],[Date]])</f>
        <v>3</v>
      </c>
    </row>
    <row r="103" spans="1:14" x14ac:dyDescent="0.3">
      <c r="A103" t="s">
        <v>353</v>
      </c>
      <c r="B103" t="s">
        <v>352</v>
      </c>
      <c r="C103" s="13" t="s">
        <v>826</v>
      </c>
      <c r="D103" t="s">
        <v>14</v>
      </c>
      <c r="E103" t="s">
        <v>25</v>
      </c>
      <c r="F103" t="s">
        <v>40</v>
      </c>
      <c r="G103">
        <v>1</v>
      </c>
      <c r="H103" t="s">
        <v>17</v>
      </c>
      <c r="I103">
        <v>0</v>
      </c>
      <c r="J103">
        <v>34162</v>
      </c>
      <c r="K103" t="s">
        <v>101</v>
      </c>
      <c r="L103" t="s">
        <v>19</v>
      </c>
      <c r="M103">
        <v>78</v>
      </c>
      <c r="N103">
        <f>MONTH(QHSE[[#This Row],[Date]])</f>
        <v>3</v>
      </c>
    </row>
    <row r="104" spans="1:14" x14ac:dyDescent="0.3">
      <c r="A104" t="s">
        <v>354</v>
      </c>
      <c r="B104" t="s">
        <v>355</v>
      </c>
      <c r="C104" s="13" t="s">
        <v>826</v>
      </c>
      <c r="D104" t="s">
        <v>22</v>
      </c>
      <c r="E104" t="s">
        <v>15</v>
      </c>
      <c r="F104" t="s">
        <v>40</v>
      </c>
      <c r="G104">
        <v>1</v>
      </c>
      <c r="H104" t="s">
        <v>17</v>
      </c>
      <c r="I104">
        <v>0</v>
      </c>
      <c r="J104">
        <v>46295</v>
      </c>
      <c r="K104" t="s">
        <v>18</v>
      </c>
      <c r="L104" t="s">
        <v>19</v>
      </c>
      <c r="M104">
        <v>72</v>
      </c>
      <c r="N104">
        <f>MONTH(QHSE[[#This Row],[Date]])</f>
        <v>3</v>
      </c>
    </row>
    <row r="105" spans="1:14" x14ac:dyDescent="0.3">
      <c r="A105" t="s">
        <v>356</v>
      </c>
      <c r="B105" t="s">
        <v>357</v>
      </c>
      <c r="C105" s="13" t="s">
        <v>826</v>
      </c>
      <c r="D105" t="s">
        <v>22</v>
      </c>
      <c r="E105" t="s">
        <v>60</v>
      </c>
      <c r="F105" t="s">
        <v>28</v>
      </c>
      <c r="G105">
        <v>3</v>
      </c>
      <c r="H105" t="s">
        <v>53</v>
      </c>
      <c r="I105">
        <v>0</v>
      </c>
      <c r="J105">
        <v>429142</v>
      </c>
      <c r="K105" t="s">
        <v>18</v>
      </c>
      <c r="L105" t="s">
        <v>23</v>
      </c>
      <c r="M105">
        <v>72</v>
      </c>
      <c r="N105">
        <f>MONTH(QHSE[[#This Row],[Date]])</f>
        <v>3</v>
      </c>
    </row>
    <row r="106" spans="1:14" x14ac:dyDescent="0.3">
      <c r="A106" t="s">
        <v>358</v>
      </c>
      <c r="B106" t="s">
        <v>359</v>
      </c>
      <c r="C106" s="13" t="s">
        <v>826</v>
      </c>
      <c r="D106" t="s">
        <v>22</v>
      </c>
      <c r="E106" t="s">
        <v>60</v>
      </c>
      <c r="F106" t="s">
        <v>16</v>
      </c>
      <c r="G106">
        <v>4</v>
      </c>
      <c r="H106" t="s">
        <v>77</v>
      </c>
      <c r="I106">
        <v>1</v>
      </c>
      <c r="J106">
        <v>2878567</v>
      </c>
      <c r="K106" t="s">
        <v>30</v>
      </c>
      <c r="L106" t="s">
        <v>23</v>
      </c>
      <c r="M106">
        <v>91</v>
      </c>
      <c r="N106">
        <f>MONTH(QHSE[[#This Row],[Date]])</f>
        <v>3</v>
      </c>
    </row>
    <row r="107" spans="1:14" x14ac:dyDescent="0.3">
      <c r="A107" t="s">
        <v>360</v>
      </c>
      <c r="B107" t="s">
        <v>361</v>
      </c>
      <c r="C107" s="13" t="s">
        <v>826</v>
      </c>
      <c r="D107" t="s">
        <v>27</v>
      </c>
      <c r="E107" t="s">
        <v>39</v>
      </c>
      <c r="F107" t="s">
        <v>28</v>
      </c>
      <c r="G107">
        <v>3</v>
      </c>
      <c r="H107" t="s">
        <v>17</v>
      </c>
      <c r="I107">
        <v>0</v>
      </c>
      <c r="J107">
        <v>587848</v>
      </c>
      <c r="K107" t="s">
        <v>18</v>
      </c>
      <c r="L107" t="s">
        <v>25</v>
      </c>
      <c r="M107">
        <v>76</v>
      </c>
      <c r="N107">
        <f>MONTH(QHSE[[#This Row],[Date]])</f>
        <v>3</v>
      </c>
    </row>
    <row r="108" spans="1:14" x14ac:dyDescent="0.3">
      <c r="A108" t="s">
        <v>362</v>
      </c>
      <c r="B108" t="s">
        <v>361</v>
      </c>
      <c r="C108" s="13" t="s">
        <v>826</v>
      </c>
      <c r="D108" t="s">
        <v>27</v>
      </c>
      <c r="E108" t="s">
        <v>36</v>
      </c>
      <c r="F108" t="s">
        <v>16</v>
      </c>
      <c r="G108">
        <v>4</v>
      </c>
      <c r="H108" t="s">
        <v>96</v>
      </c>
      <c r="I108">
        <v>1</v>
      </c>
      <c r="J108">
        <v>2891885</v>
      </c>
      <c r="K108" t="s">
        <v>30</v>
      </c>
      <c r="L108" t="s">
        <v>25</v>
      </c>
      <c r="M108">
        <v>65</v>
      </c>
      <c r="N108">
        <f>MONTH(QHSE[[#This Row],[Date]])</f>
        <v>3</v>
      </c>
    </row>
    <row r="109" spans="1:14" x14ac:dyDescent="0.3">
      <c r="A109" t="s">
        <v>363</v>
      </c>
      <c r="B109" t="s">
        <v>361</v>
      </c>
      <c r="C109" s="13" t="s">
        <v>826</v>
      </c>
      <c r="D109" t="s">
        <v>27</v>
      </c>
      <c r="E109" t="s">
        <v>36</v>
      </c>
      <c r="F109" t="s">
        <v>45</v>
      </c>
      <c r="G109">
        <v>2</v>
      </c>
      <c r="H109" t="s">
        <v>29</v>
      </c>
      <c r="I109">
        <v>0</v>
      </c>
      <c r="J109">
        <v>174503</v>
      </c>
      <c r="K109" t="s">
        <v>18</v>
      </c>
      <c r="L109" t="s">
        <v>19</v>
      </c>
      <c r="M109">
        <v>75</v>
      </c>
      <c r="N109">
        <f>MONTH(QHSE[[#This Row],[Date]])</f>
        <v>3</v>
      </c>
    </row>
    <row r="110" spans="1:14" x14ac:dyDescent="0.3">
      <c r="A110" t="s">
        <v>364</v>
      </c>
      <c r="B110" t="s">
        <v>365</v>
      </c>
      <c r="C110" s="13" t="s">
        <v>826</v>
      </c>
      <c r="D110" t="s">
        <v>27</v>
      </c>
      <c r="E110" t="s">
        <v>25</v>
      </c>
      <c r="F110" t="s">
        <v>16</v>
      </c>
      <c r="G110">
        <v>2</v>
      </c>
      <c r="H110" t="s">
        <v>29</v>
      </c>
      <c r="I110">
        <v>2</v>
      </c>
      <c r="J110">
        <v>143948</v>
      </c>
      <c r="K110" t="s">
        <v>18</v>
      </c>
      <c r="L110" t="s">
        <v>31</v>
      </c>
      <c r="M110">
        <v>95</v>
      </c>
      <c r="N110">
        <f>MONTH(QHSE[[#This Row],[Date]])</f>
        <v>3</v>
      </c>
    </row>
    <row r="111" spans="1:14" x14ac:dyDescent="0.3">
      <c r="A111" t="s">
        <v>366</v>
      </c>
      <c r="B111" t="s">
        <v>365</v>
      </c>
      <c r="C111" s="13" t="s">
        <v>826</v>
      </c>
      <c r="D111" t="s">
        <v>58</v>
      </c>
      <c r="E111" t="s">
        <v>60</v>
      </c>
      <c r="F111" t="s">
        <v>45</v>
      </c>
      <c r="G111">
        <v>2</v>
      </c>
      <c r="H111" t="s">
        <v>49</v>
      </c>
      <c r="I111">
        <v>0</v>
      </c>
      <c r="J111">
        <v>139493</v>
      </c>
      <c r="K111" t="s">
        <v>101</v>
      </c>
      <c r="L111" t="s">
        <v>25</v>
      </c>
      <c r="M111">
        <v>81</v>
      </c>
      <c r="N111">
        <f>MONTH(QHSE[[#This Row],[Date]])</f>
        <v>3</v>
      </c>
    </row>
    <row r="112" spans="1:14" x14ac:dyDescent="0.3">
      <c r="A112" t="s">
        <v>367</v>
      </c>
      <c r="B112" t="s">
        <v>365</v>
      </c>
      <c r="C112" s="13" t="s">
        <v>826</v>
      </c>
      <c r="D112" t="s">
        <v>22</v>
      </c>
      <c r="E112" t="s">
        <v>39</v>
      </c>
      <c r="F112" t="s">
        <v>40</v>
      </c>
      <c r="G112">
        <v>1</v>
      </c>
      <c r="H112" t="s">
        <v>49</v>
      </c>
      <c r="I112">
        <v>0</v>
      </c>
      <c r="J112">
        <v>28971</v>
      </c>
      <c r="K112" t="s">
        <v>18</v>
      </c>
      <c r="L112" t="s">
        <v>25</v>
      </c>
      <c r="M112">
        <v>97</v>
      </c>
      <c r="N112">
        <f>MONTH(QHSE[[#This Row],[Date]])</f>
        <v>3</v>
      </c>
    </row>
    <row r="113" spans="1:14" x14ac:dyDescent="0.3">
      <c r="A113" t="s">
        <v>368</v>
      </c>
      <c r="B113" t="s">
        <v>365</v>
      </c>
      <c r="C113" s="13" t="s">
        <v>826</v>
      </c>
      <c r="D113" t="s">
        <v>27</v>
      </c>
      <c r="E113" t="s">
        <v>15</v>
      </c>
      <c r="F113" t="s">
        <v>37</v>
      </c>
      <c r="G113">
        <v>1</v>
      </c>
      <c r="H113" t="s">
        <v>29</v>
      </c>
      <c r="I113">
        <v>0</v>
      </c>
      <c r="J113">
        <v>33634</v>
      </c>
      <c r="K113" t="s">
        <v>18</v>
      </c>
      <c r="L113" t="s">
        <v>23</v>
      </c>
      <c r="M113">
        <v>96</v>
      </c>
      <c r="N113">
        <f>MONTH(QHSE[[#This Row],[Date]])</f>
        <v>3</v>
      </c>
    </row>
    <row r="114" spans="1:14" x14ac:dyDescent="0.3">
      <c r="A114" t="s">
        <v>369</v>
      </c>
      <c r="B114" t="s">
        <v>370</v>
      </c>
      <c r="C114" s="13" t="s">
        <v>826</v>
      </c>
      <c r="D114" t="s">
        <v>14</v>
      </c>
      <c r="E114" t="s">
        <v>60</v>
      </c>
      <c r="F114" t="s">
        <v>40</v>
      </c>
      <c r="G114">
        <v>1</v>
      </c>
      <c r="H114" t="s">
        <v>29</v>
      </c>
      <c r="I114">
        <v>0</v>
      </c>
      <c r="J114">
        <v>31480</v>
      </c>
      <c r="K114" t="s">
        <v>18</v>
      </c>
      <c r="L114" t="s">
        <v>31</v>
      </c>
      <c r="M114">
        <v>93</v>
      </c>
      <c r="N114">
        <f>MONTH(QHSE[[#This Row],[Date]])</f>
        <v>3</v>
      </c>
    </row>
    <row r="115" spans="1:14" x14ac:dyDescent="0.3">
      <c r="A115" t="s">
        <v>371</v>
      </c>
      <c r="B115" t="s">
        <v>370</v>
      </c>
      <c r="C115" s="13" t="s">
        <v>826</v>
      </c>
      <c r="D115" t="s">
        <v>27</v>
      </c>
      <c r="E115" t="s">
        <v>39</v>
      </c>
      <c r="F115" t="s">
        <v>40</v>
      </c>
      <c r="G115">
        <v>2</v>
      </c>
      <c r="H115" t="s">
        <v>24</v>
      </c>
      <c r="I115">
        <v>0</v>
      </c>
      <c r="J115">
        <v>220827</v>
      </c>
      <c r="K115" t="s">
        <v>41</v>
      </c>
      <c r="L115" t="s">
        <v>19</v>
      </c>
      <c r="M115">
        <v>85</v>
      </c>
      <c r="N115">
        <f>MONTH(QHSE[[#This Row],[Date]])</f>
        <v>3</v>
      </c>
    </row>
    <row r="116" spans="1:14" x14ac:dyDescent="0.3">
      <c r="A116" t="s">
        <v>372</v>
      </c>
      <c r="B116" t="s">
        <v>370</v>
      </c>
      <c r="C116" s="13" t="s">
        <v>826</v>
      </c>
      <c r="D116" t="s">
        <v>14</v>
      </c>
      <c r="E116" t="s">
        <v>39</v>
      </c>
      <c r="F116" t="s">
        <v>37</v>
      </c>
      <c r="G116">
        <v>1</v>
      </c>
      <c r="H116" t="s">
        <v>96</v>
      </c>
      <c r="I116">
        <v>0</v>
      </c>
      <c r="J116">
        <v>11979</v>
      </c>
      <c r="K116" t="s">
        <v>18</v>
      </c>
      <c r="L116" t="s">
        <v>25</v>
      </c>
      <c r="M116">
        <v>85</v>
      </c>
      <c r="N116">
        <f>MONTH(QHSE[[#This Row],[Date]])</f>
        <v>3</v>
      </c>
    </row>
    <row r="117" spans="1:14" x14ac:dyDescent="0.3">
      <c r="A117" t="s">
        <v>373</v>
      </c>
      <c r="B117" t="s">
        <v>370</v>
      </c>
      <c r="C117" s="13" t="s">
        <v>826</v>
      </c>
      <c r="D117" t="s">
        <v>58</v>
      </c>
      <c r="E117" t="s">
        <v>23</v>
      </c>
      <c r="F117" t="s">
        <v>16</v>
      </c>
      <c r="G117">
        <v>3</v>
      </c>
      <c r="H117" t="s">
        <v>53</v>
      </c>
      <c r="I117">
        <v>6</v>
      </c>
      <c r="J117">
        <v>874987</v>
      </c>
      <c r="K117" t="s">
        <v>18</v>
      </c>
      <c r="L117" t="s">
        <v>31</v>
      </c>
      <c r="M117">
        <v>87</v>
      </c>
      <c r="N117">
        <f>MONTH(QHSE[[#This Row],[Date]])</f>
        <v>3</v>
      </c>
    </row>
    <row r="118" spans="1:14" x14ac:dyDescent="0.3">
      <c r="A118" t="s">
        <v>374</v>
      </c>
      <c r="B118" t="s">
        <v>375</v>
      </c>
      <c r="C118" s="13" t="s">
        <v>826</v>
      </c>
      <c r="D118" t="s">
        <v>33</v>
      </c>
      <c r="E118" t="s">
        <v>15</v>
      </c>
      <c r="F118" t="s">
        <v>16</v>
      </c>
      <c r="G118">
        <v>4</v>
      </c>
      <c r="H118" t="s">
        <v>49</v>
      </c>
      <c r="I118">
        <v>14</v>
      </c>
      <c r="J118">
        <v>4375698</v>
      </c>
      <c r="K118" t="s">
        <v>18</v>
      </c>
      <c r="L118" t="s">
        <v>31</v>
      </c>
      <c r="M118">
        <v>70</v>
      </c>
      <c r="N118">
        <f>MONTH(QHSE[[#This Row],[Date]])</f>
        <v>3</v>
      </c>
    </row>
    <row r="119" spans="1:14" x14ac:dyDescent="0.3">
      <c r="A119" t="s">
        <v>376</v>
      </c>
      <c r="B119" t="s">
        <v>377</v>
      </c>
      <c r="C119" s="13" t="s">
        <v>826</v>
      </c>
      <c r="D119" t="s">
        <v>22</v>
      </c>
      <c r="E119" t="s">
        <v>23</v>
      </c>
      <c r="F119" t="s">
        <v>45</v>
      </c>
      <c r="G119">
        <v>1</v>
      </c>
      <c r="H119" t="s">
        <v>24</v>
      </c>
      <c r="I119">
        <v>0</v>
      </c>
      <c r="J119">
        <v>21396</v>
      </c>
      <c r="K119" t="s">
        <v>18</v>
      </c>
      <c r="L119" t="s">
        <v>19</v>
      </c>
      <c r="M119">
        <v>86</v>
      </c>
      <c r="N119">
        <f>MONTH(QHSE[[#This Row],[Date]])</f>
        <v>3</v>
      </c>
    </row>
    <row r="120" spans="1:14" x14ac:dyDescent="0.3">
      <c r="A120" t="s">
        <v>378</v>
      </c>
      <c r="B120" t="s">
        <v>377</v>
      </c>
      <c r="C120" s="13" t="s">
        <v>826</v>
      </c>
      <c r="D120" t="s">
        <v>33</v>
      </c>
      <c r="E120" t="s">
        <v>25</v>
      </c>
      <c r="F120" t="s">
        <v>28</v>
      </c>
      <c r="G120">
        <v>2</v>
      </c>
      <c r="H120" t="s">
        <v>24</v>
      </c>
      <c r="I120">
        <v>0</v>
      </c>
      <c r="J120">
        <v>142570</v>
      </c>
      <c r="K120" t="s">
        <v>41</v>
      </c>
      <c r="L120" t="s">
        <v>31</v>
      </c>
      <c r="M120">
        <v>72</v>
      </c>
      <c r="N120">
        <f>MONTH(QHSE[[#This Row],[Date]])</f>
        <v>3</v>
      </c>
    </row>
    <row r="121" spans="1:14" x14ac:dyDescent="0.3">
      <c r="A121" t="s">
        <v>379</v>
      </c>
      <c r="B121" t="s">
        <v>380</v>
      </c>
      <c r="C121" s="13" t="s">
        <v>826</v>
      </c>
      <c r="D121" t="s">
        <v>27</v>
      </c>
      <c r="E121" t="s">
        <v>23</v>
      </c>
      <c r="F121" t="s">
        <v>45</v>
      </c>
      <c r="G121">
        <v>2</v>
      </c>
      <c r="H121" t="s">
        <v>53</v>
      </c>
      <c r="I121">
        <v>0</v>
      </c>
      <c r="J121">
        <v>137707</v>
      </c>
      <c r="K121" t="s">
        <v>30</v>
      </c>
      <c r="L121" t="s">
        <v>31</v>
      </c>
      <c r="M121">
        <v>99</v>
      </c>
      <c r="N121">
        <f>MONTH(QHSE[[#This Row],[Date]])</f>
        <v>3</v>
      </c>
    </row>
    <row r="122" spans="1:14" x14ac:dyDescent="0.3">
      <c r="A122" t="s">
        <v>381</v>
      </c>
      <c r="B122" t="s">
        <v>382</v>
      </c>
      <c r="C122" s="13" t="s">
        <v>826</v>
      </c>
      <c r="D122" t="s">
        <v>22</v>
      </c>
      <c r="E122" t="s">
        <v>23</v>
      </c>
      <c r="F122" t="s">
        <v>28</v>
      </c>
      <c r="G122">
        <v>2</v>
      </c>
      <c r="H122" t="s">
        <v>24</v>
      </c>
      <c r="I122">
        <v>0</v>
      </c>
      <c r="J122">
        <v>93701</v>
      </c>
      <c r="K122" t="s">
        <v>18</v>
      </c>
      <c r="L122" t="s">
        <v>31</v>
      </c>
      <c r="M122">
        <v>75</v>
      </c>
      <c r="N122">
        <f>MONTH(QHSE[[#This Row],[Date]])</f>
        <v>3</v>
      </c>
    </row>
    <row r="123" spans="1:14" x14ac:dyDescent="0.3">
      <c r="A123" t="s">
        <v>383</v>
      </c>
      <c r="B123" t="s">
        <v>384</v>
      </c>
      <c r="C123" s="13" t="s">
        <v>826</v>
      </c>
      <c r="D123" t="s">
        <v>27</v>
      </c>
      <c r="E123" t="s">
        <v>60</v>
      </c>
      <c r="F123" t="s">
        <v>40</v>
      </c>
      <c r="G123">
        <v>2</v>
      </c>
      <c r="H123" t="s">
        <v>96</v>
      </c>
      <c r="I123">
        <v>0</v>
      </c>
      <c r="J123">
        <v>129359</v>
      </c>
      <c r="K123" t="s">
        <v>30</v>
      </c>
      <c r="L123" t="s">
        <v>25</v>
      </c>
      <c r="M123">
        <v>88</v>
      </c>
      <c r="N123">
        <f>MONTH(QHSE[[#This Row],[Date]])</f>
        <v>3</v>
      </c>
    </row>
    <row r="124" spans="1:14" x14ac:dyDescent="0.3">
      <c r="A124" t="s">
        <v>385</v>
      </c>
      <c r="B124" t="s">
        <v>386</v>
      </c>
      <c r="C124" s="13" t="s">
        <v>826</v>
      </c>
      <c r="D124" t="s">
        <v>33</v>
      </c>
      <c r="E124" t="s">
        <v>36</v>
      </c>
      <c r="F124" t="s">
        <v>37</v>
      </c>
      <c r="G124">
        <v>2</v>
      </c>
      <c r="H124" t="s">
        <v>29</v>
      </c>
      <c r="I124">
        <v>0</v>
      </c>
      <c r="J124">
        <v>58877</v>
      </c>
      <c r="K124" t="s">
        <v>18</v>
      </c>
      <c r="L124" t="s">
        <v>19</v>
      </c>
      <c r="M124">
        <v>85</v>
      </c>
      <c r="N124">
        <f>MONTH(QHSE[[#This Row],[Date]])</f>
        <v>3</v>
      </c>
    </row>
    <row r="125" spans="1:14" x14ac:dyDescent="0.3">
      <c r="A125" t="s">
        <v>387</v>
      </c>
      <c r="B125" t="s">
        <v>386</v>
      </c>
      <c r="C125" s="13" t="s">
        <v>826</v>
      </c>
      <c r="D125" t="s">
        <v>27</v>
      </c>
      <c r="E125" t="s">
        <v>39</v>
      </c>
      <c r="F125" t="s">
        <v>40</v>
      </c>
      <c r="G125">
        <v>1</v>
      </c>
      <c r="H125" t="s">
        <v>17</v>
      </c>
      <c r="I125">
        <v>0</v>
      </c>
      <c r="J125">
        <v>21112</v>
      </c>
      <c r="K125" t="s">
        <v>101</v>
      </c>
      <c r="L125" t="s">
        <v>31</v>
      </c>
      <c r="M125">
        <v>66</v>
      </c>
      <c r="N125">
        <f>MONTH(QHSE[[#This Row],[Date]])</f>
        <v>3</v>
      </c>
    </row>
    <row r="126" spans="1:14" x14ac:dyDescent="0.3">
      <c r="A126" t="s">
        <v>388</v>
      </c>
      <c r="B126" t="s">
        <v>386</v>
      </c>
      <c r="C126" s="13" t="s">
        <v>826</v>
      </c>
      <c r="D126" t="s">
        <v>22</v>
      </c>
      <c r="E126" t="s">
        <v>15</v>
      </c>
      <c r="F126" t="s">
        <v>40</v>
      </c>
      <c r="G126">
        <v>1</v>
      </c>
      <c r="H126" t="s">
        <v>53</v>
      </c>
      <c r="I126">
        <v>0</v>
      </c>
      <c r="J126">
        <v>42667</v>
      </c>
      <c r="K126" t="s">
        <v>101</v>
      </c>
      <c r="L126" t="s">
        <v>31</v>
      </c>
      <c r="M126">
        <v>83</v>
      </c>
      <c r="N126">
        <f>MONTH(QHSE[[#This Row],[Date]])</f>
        <v>3</v>
      </c>
    </row>
    <row r="127" spans="1:14" x14ac:dyDescent="0.3">
      <c r="A127" t="s">
        <v>389</v>
      </c>
      <c r="B127" t="s">
        <v>386</v>
      </c>
      <c r="C127" s="13" t="s">
        <v>826</v>
      </c>
      <c r="D127" t="s">
        <v>14</v>
      </c>
      <c r="E127" t="s">
        <v>23</v>
      </c>
      <c r="F127" t="s">
        <v>16</v>
      </c>
      <c r="G127">
        <v>2</v>
      </c>
      <c r="H127" t="s">
        <v>29</v>
      </c>
      <c r="I127">
        <v>6</v>
      </c>
      <c r="J127">
        <v>106912</v>
      </c>
      <c r="K127" t="s">
        <v>18</v>
      </c>
      <c r="L127" t="s">
        <v>25</v>
      </c>
      <c r="M127">
        <v>92</v>
      </c>
      <c r="N127">
        <f>MONTH(QHSE[[#This Row],[Date]])</f>
        <v>3</v>
      </c>
    </row>
    <row r="128" spans="1:14" x14ac:dyDescent="0.3">
      <c r="A128" t="s">
        <v>390</v>
      </c>
      <c r="B128" t="s">
        <v>391</v>
      </c>
      <c r="C128" s="13" t="s">
        <v>826</v>
      </c>
      <c r="D128" t="s">
        <v>22</v>
      </c>
      <c r="E128" t="s">
        <v>15</v>
      </c>
      <c r="F128" t="s">
        <v>28</v>
      </c>
      <c r="G128">
        <v>2</v>
      </c>
      <c r="H128" t="s">
        <v>29</v>
      </c>
      <c r="I128">
        <v>0</v>
      </c>
      <c r="J128">
        <v>213641</v>
      </c>
      <c r="K128" t="s">
        <v>41</v>
      </c>
      <c r="L128" t="s">
        <v>19</v>
      </c>
      <c r="M128">
        <v>81</v>
      </c>
      <c r="N128">
        <f>MONTH(QHSE[[#This Row],[Date]])</f>
        <v>3</v>
      </c>
    </row>
    <row r="129" spans="1:14" x14ac:dyDescent="0.3">
      <c r="A129" t="s">
        <v>392</v>
      </c>
      <c r="B129" t="s">
        <v>393</v>
      </c>
      <c r="C129" s="13" t="s">
        <v>826</v>
      </c>
      <c r="D129" t="s">
        <v>22</v>
      </c>
      <c r="E129" t="s">
        <v>36</v>
      </c>
      <c r="F129" t="s">
        <v>45</v>
      </c>
      <c r="G129">
        <v>1</v>
      </c>
      <c r="H129" t="s">
        <v>77</v>
      </c>
      <c r="I129">
        <v>0</v>
      </c>
      <c r="J129">
        <v>31263</v>
      </c>
      <c r="K129" t="s">
        <v>30</v>
      </c>
      <c r="L129" t="s">
        <v>23</v>
      </c>
      <c r="M129">
        <v>70</v>
      </c>
      <c r="N129">
        <f>MONTH(QHSE[[#This Row],[Date]])</f>
        <v>3</v>
      </c>
    </row>
    <row r="130" spans="1:14" x14ac:dyDescent="0.3">
      <c r="A130" t="s">
        <v>394</v>
      </c>
      <c r="B130" t="s">
        <v>393</v>
      </c>
      <c r="C130" s="13" t="s">
        <v>826</v>
      </c>
      <c r="D130" t="s">
        <v>22</v>
      </c>
      <c r="E130" t="s">
        <v>36</v>
      </c>
      <c r="F130" t="s">
        <v>37</v>
      </c>
      <c r="G130">
        <v>1</v>
      </c>
      <c r="H130" t="s">
        <v>53</v>
      </c>
      <c r="I130">
        <v>0</v>
      </c>
      <c r="J130">
        <v>45194</v>
      </c>
      <c r="K130" t="s">
        <v>18</v>
      </c>
      <c r="L130" t="s">
        <v>25</v>
      </c>
      <c r="M130">
        <v>83</v>
      </c>
      <c r="N130">
        <f>MONTH(QHSE[[#This Row],[Date]])</f>
        <v>3</v>
      </c>
    </row>
    <row r="131" spans="1:14" x14ac:dyDescent="0.3">
      <c r="A131" t="s">
        <v>395</v>
      </c>
      <c r="B131" t="s">
        <v>393</v>
      </c>
      <c r="C131" s="13" t="s">
        <v>826</v>
      </c>
      <c r="D131" t="s">
        <v>22</v>
      </c>
      <c r="E131" t="s">
        <v>23</v>
      </c>
      <c r="F131" t="s">
        <v>28</v>
      </c>
      <c r="G131">
        <v>3</v>
      </c>
      <c r="H131" t="s">
        <v>24</v>
      </c>
      <c r="I131">
        <v>0</v>
      </c>
      <c r="J131">
        <v>681084</v>
      </c>
      <c r="K131" t="s">
        <v>18</v>
      </c>
      <c r="L131" t="s">
        <v>19</v>
      </c>
      <c r="M131">
        <v>92</v>
      </c>
      <c r="N131">
        <f>MONTH(QHSE[[#This Row],[Date]])</f>
        <v>3</v>
      </c>
    </row>
    <row r="132" spans="1:14" x14ac:dyDescent="0.3">
      <c r="A132" t="s">
        <v>396</v>
      </c>
      <c r="B132" t="s">
        <v>393</v>
      </c>
      <c r="C132" s="13" t="s">
        <v>826</v>
      </c>
      <c r="D132" t="s">
        <v>22</v>
      </c>
      <c r="E132" t="s">
        <v>25</v>
      </c>
      <c r="F132" t="s">
        <v>45</v>
      </c>
      <c r="G132">
        <v>2</v>
      </c>
      <c r="H132" t="s">
        <v>17</v>
      </c>
      <c r="I132">
        <v>0</v>
      </c>
      <c r="J132">
        <v>55933</v>
      </c>
      <c r="K132" t="s">
        <v>18</v>
      </c>
      <c r="L132" t="s">
        <v>31</v>
      </c>
      <c r="M132">
        <v>66</v>
      </c>
      <c r="N132">
        <f>MONTH(QHSE[[#This Row],[Date]])</f>
        <v>3</v>
      </c>
    </row>
    <row r="133" spans="1:14" x14ac:dyDescent="0.3">
      <c r="A133" t="s">
        <v>397</v>
      </c>
      <c r="B133" t="s">
        <v>398</v>
      </c>
      <c r="C133" s="13" t="s">
        <v>826</v>
      </c>
      <c r="D133" t="s">
        <v>22</v>
      </c>
      <c r="E133" t="s">
        <v>23</v>
      </c>
      <c r="F133" t="s">
        <v>16</v>
      </c>
      <c r="G133">
        <v>3</v>
      </c>
      <c r="H133" t="s">
        <v>53</v>
      </c>
      <c r="I133">
        <v>2</v>
      </c>
      <c r="J133">
        <v>756565</v>
      </c>
      <c r="K133" t="s">
        <v>30</v>
      </c>
      <c r="L133" t="s">
        <v>19</v>
      </c>
      <c r="M133">
        <v>68</v>
      </c>
      <c r="N133">
        <f>MONTH(QHSE[[#This Row],[Date]])</f>
        <v>3</v>
      </c>
    </row>
    <row r="134" spans="1:14" x14ac:dyDescent="0.3">
      <c r="A134" t="s">
        <v>399</v>
      </c>
      <c r="B134" t="s">
        <v>400</v>
      </c>
      <c r="C134" s="13" t="s">
        <v>826</v>
      </c>
      <c r="D134" t="s">
        <v>14</v>
      </c>
      <c r="E134" t="s">
        <v>60</v>
      </c>
      <c r="F134" t="s">
        <v>40</v>
      </c>
      <c r="G134">
        <v>1</v>
      </c>
      <c r="H134" t="s">
        <v>24</v>
      </c>
      <c r="I134">
        <v>0</v>
      </c>
      <c r="J134">
        <v>11794</v>
      </c>
      <c r="K134" t="s">
        <v>101</v>
      </c>
      <c r="L134" t="s">
        <v>19</v>
      </c>
      <c r="M134">
        <v>86</v>
      </c>
      <c r="N134">
        <f>MONTH(QHSE[[#This Row],[Date]])</f>
        <v>3</v>
      </c>
    </row>
    <row r="135" spans="1:14" x14ac:dyDescent="0.3">
      <c r="A135" t="s">
        <v>401</v>
      </c>
      <c r="B135" t="s">
        <v>402</v>
      </c>
      <c r="C135" s="13" t="s">
        <v>826</v>
      </c>
      <c r="D135" t="s">
        <v>22</v>
      </c>
      <c r="E135" t="s">
        <v>39</v>
      </c>
      <c r="F135" t="s">
        <v>16</v>
      </c>
      <c r="G135">
        <v>3</v>
      </c>
      <c r="H135" t="s">
        <v>29</v>
      </c>
      <c r="I135">
        <v>1</v>
      </c>
      <c r="J135">
        <v>587947</v>
      </c>
      <c r="K135" t="s">
        <v>30</v>
      </c>
      <c r="L135" t="s">
        <v>19</v>
      </c>
      <c r="M135">
        <v>90</v>
      </c>
      <c r="N135">
        <f>MONTH(QHSE[[#This Row],[Date]])</f>
        <v>3</v>
      </c>
    </row>
    <row r="136" spans="1:14" x14ac:dyDescent="0.3">
      <c r="A136" t="s">
        <v>403</v>
      </c>
      <c r="B136" t="s">
        <v>404</v>
      </c>
      <c r="C136" s="13" t="s">
        <v>826</v>
      </c>
      <c r="D136" t="s">
        <v>22</v>
      </c>
      <c r="E136" t="s">
        <v>25</v>
      </c>
      <c r="F136" t="s">
        <v>72</v>
      </c>
      <c r="G136">
        <v>2</v>
      </c>
      <c r="H136" t="s">
        <v>17</v>
      </c>
      <c r="I136">
        <v>0</v>
      </c>
      <c r="J136">
        <v>235885</v>
      </c>
      <c r="K136" t="s">
        <v>41</v>
      </c>
      <c r="L136" t="s">
        <v>23</v>
      </c>
      <c r="M136">
        <v>77</v>
      </c>
      <c r="N136">
        <f>MONTH(QHSE[[#This Row],[Date]])</f>
        <v>3</v>
      </c>
    </row>
    <row r="137" spans="1:14" x14ac:dyDescent="0.3">
      <c r="A137" t="s">
        <v>405</v>
      </c>
      <c r="B137" t="s">
        <v>404</v>
      </c>
      <c r="C137" s="13" t="s">
        <v>826</v>
      </c>
      <c r="D137" t="s">
        <v>58</v>
      </c>
      <c r="E137" t="s">
        <v>23</v>
      </c>
      <c r="F137" t="s">
        <v>40</v>
      </c>
      <c r="G137">
        <v>2</v>
      </c>
      <c r="H137" t="s">
        <v>24</v>
      </c>
      <c r="I137">
        <v>0</v>
      </c>
      <c r="J137">
        <v>83040</v>
      </c>
      <c r="K137" t="s">
        <v>30</v>
      </c>
      <c r="L137" t="s">
        <v>19</v>
      </c>
      <c r="M137">
        <v>96</v>
      </c>
      <c r="N137">
        <f>MONTH(QHSE[[#This Row],[Date]])</f>
        <v>3</v>
      </c>
    </row>
    <row r="138" spans="1:14" x14ac:dyDescent="0.3">
      <c r="A138" t="s">
        <v>406</v>
      </c>
      <c r="B138" t="s">
        <v>407</v>
      </c>
      <c r="C138" s="13" t="s">
        <v>826</v>
      </c>
      <c r="D138" t="s">
        <v>27</v>
      </c>
      <c r="E138" t="s">
        <v>15</v>
      </c>
      <c r="F138" t="s">
        <v>72</v>
      </c>
      <c r="G138">
        <v>3</v>
      </c>
      <c r="H138" t="s">
        <v>96</v>
      </c>
      <c r="I138">
        <v>0</v>
      </c>
      <c r="J138">
        <v>542404</v>
      </c>
      <c r="K138" t="s">
        <v>41</v>
      </c>
      <c r="L138" t="s">
        <v>23</v>
      </c>
      <c r="M138">
        <v>81</v>
      </c>
      <c r="N138">
        <f>MONTH(QHSE[[#This Row],[Date]])</f>
        <v>3</v>
      </c>
    </row>
    <row r="139" spans="1:14" x14ac:dyDescent="0.3">
      <c r="A139" t="s">
        <v>408</v>
      </c>
      <c r="B139" t="s">
        <v>409</v>
      </c>
      <c r="C139" s="13" t="s">
        <v>826</v>
      </c>
      <c r="D139" t="s">
        <v>14</v>
      </c>
      <c r="E139" t="s">
        <v>25</v>
      </c>
      <c r="F139" t="s">
        <v>37</v>
      </c>
      <c r="G139">
        <v>1</v>
      </c>
      <c r="H139" t="s">
        <v>24</v>
      </c>
      <c r="I139">
        <v>0</v>
      </c>
      <c r="J139">
        <v>39194</v>
      </c>
      <c r="K139" t="s">
        <v>30</v>
      </c>
      <c r="L139" t="s">
        <v>31</v>
      </c>
      <c r="M139">
        <v>83</v>
      </c>
      <c r="N139">
        <f>MONTH(QHSE[[#This Row],[Date]])</f>
        <v>3</v>
      </c>
    </row>
    <row r="140" spans="1:14" x14ac:dyDescent="0.3">
      <c r="A140" t="s">
        <v>410</v>
      </c>
      <c r="B140" t="s">
        <v>409</v>
      </c>
      <c r="C140" s="13" t="s">
        <v>826</v>
      </c>
      <c r="D140" t="s">
        <v>22</v>
      </c>
      <c r="E140" t="s">
        <v>25</v>
      </c>
      <c r="F140" t="s">
        <v>28</v>
      </c>
      <c r="G140">
        <v>3</v>
      </c>
      <c r="H140" t="s">
        <v>77</v>
      </c>
      <c r="I140">
        <v>0</v>
      </c>
      <c r="J140">
        <v>911693</v>
      </c>
      <c r="K140" t="s">
        <v>18</v>
      </c>
      <c r="L140" t="s">
        <v>23</v>
      </c>
      <c r="M140">
        <v>99</v>
      </c>
      <c r="N140">
        <f>MONTH(QHSE[[#This Row],[Date]])</f>
        <v>3</v>
      </c>
    </row>
    <row r="141" spans="1:14" x14ac:dyDescent="0.3">
      <c r="A141" t="s">
        <v>411</v>
      </c>
      <c r="B141" t="s">
        <v>409</v>
      </c>
      <c r="C141" s="13" t="s">
        <v>826</v>
      </c>
      <c r="D141" t="s">
        <v>22</v>
      </c>
      <c r="E141" t="s">
        <v>23</v>
      </c>
      <c r="F141" t="s">
        <v>37</v>
      </c>
      <c r="G141">
        <v>2</v>
      </c>
      <c r="H141" t="s">
        <v>29</v>
      </c>
      <c r="I141">
        <v>0</v>
      </c>
      <c r="J141">
        <v>184188</v>
      </c>
      <c r="K141" t="s">
        <v>18</v>
      </c>
      <c r="L141" t="s">
        <v>31</v>
      </c>
      <c r="M141">
        <v>92</v>
      </c>
      <c r="N141">
        <f>MONTH(QHSE[[#This Row],[Date]])</f>
        <v>3</v>
      </c>
    </row>
    <row r="142" spans="1:14" x14ac:dyDescent="0.3">
      <c r="A142" t="s">
        <v>412</v>
      </c>
      <c r="B142" t="s">
        <v>413</v>
      </c>
      <c r="C142" s="13" t="s">
        <v>826</v>
      </c>
      <c r="D142" t="s">
        <v>22</v>
      </c>
      <c r="E142" t="s">
        <v>25</v>
      </c>
      <c r="F142" t="s">
        <v>40</v>
      </c>
      <c r="G142">
        <v>2</v>
      </c>
      <c r="H142" t="s">
        <v>24</v>
      </c>
      <c r="I142">
        <v>0</v>
      </c>
      <c r="J142">
        <v>101634</v>
      </c>
      <c r="K142" t="s">
        <v>41</v>
      </c>
      <c r="L142" t="s">
        <v>31</v>
      </c>
      <c r="M142">
        <v>65</v>
      </c>
      <c r="N142">
        <f>MONTH(QHSE[[#This Row],[Date]])</f>
        <v>3</v>
      </c>
    </row>
    <row r="143" spans="1:14" x14ac:dyDescent="0.3">
      <c r="A143" t="s">
        <v>414</v>
      </c>
      <c r="B143" t="s">
        <v>415</v>
      </c>
      <c r="C143" s="13" t="s">
        <v>827</v>
      </c>
      <c r="D143" t="s">
        <v>22</v>
      </c>
      <c r="E143" t="s">
        <v>15</v>
      </c>
      <c r="F143" t="s">
        <v>45</v>
      </c>
      <c r="G143">
        <v>1</v>
      </c>
      <c r="H143" t="s">
        <v>49</v>
      </c>
      <c r="I143">
        <v>0</v>
      </c>
      <c r="J143">
        <v>36984</v>
      </c>
      <c r="K143" t="s">
        <v>18</v>
      </c>
      <c r="L143" t="s">
        <v>23</v>
      </c>
      <c r="M143">
        <v>82</v>
      </c>
      <c r="N143">
        <f>MONTH(QHSE[[#This Row],[Date]])</f>
        <v>4</v>
      </c>
    </row>
    <row r="144" spans="1:14" x14ac:dyDescent="0.3">
      <c r="A144" t="s">
        <v>416</v>
      </c>
      <c r="B144" t="s">
        <v>417</v>
      </c>
      <c r="C144" s="13" t="s">
        <v>827</v>
      </c>
      <c r="D144" t="s">
        <v>22</v>
      </c>
      <c r="E144" t="s">
        <v>36</v>
      </c>
      <c r="F144" t="s">
        <v>16</v>
      </c>
      <c r="G144">
        <v>2</v>
      </c>
      <c r="H144" t="s">
        <v>49</v>
      </c>
      <c r="I144">
        <v>10</v>
      </c>
      <c r="J144">
        <v>109345</v>
      </c>
      <c r="K144" t="s">
        <v>41</v>
      </c>
      <c r="L144" t="s">
        <v>25</v>
      </c>
      <c r="M144">
        <v>97</v>
      </c>
      <c r="N144">
        <f>MONTH(QHSE[[#This Row],[Date]])</f>
        <v>4</v>
      </c>
    </row>
    <row r="145" spans="1:14" x14ac:dyDescent="0.3">
      <c r="A145" t="s">
        <v>418</v>
      </c>
      <c r="B145" t="s">
        <v>419</v>
      </c>
      <c r="C145" s="13" t="s">
        <v>827</v>
      </c>
      <c r="D145" t="s">
        <v>22</v>
      </c>
      <c r="E145" t="s">
        <v>25</v>
      </c>
      <c r="F145" t="s">
        <v>72</v>
      </c>
      <c r="G145">
        <v>3</v>
      </c>
      <c r="H145" t="s">
        <v>77</v>
      </c>
      <c r="I145">
        <v>0</v>
      </c>
      <c r="J145">
        <v>788821</v>
      </c>
      <c r="K145" t="s">
        <v>18</v>
      </c>
      <c r="L145" t="s">
        <v>46</v>
      </c>
      <c r="M145">
        <v>76</v>
      </c>
      <c r="N145">
        <f>MONTH(QHSE[[#This Row],[Date]])</f>
        <v>4</v>
      </c>
    </row>
    <row r="146" spans="1:14" x14ac:dyDescent="0.3">
      <c r="A146" t="s">
        <v>420</v>
      </c>
      <c r="B146" t="s">
        <v>421</v>
      </c>
      <c r="C146" s="13" t="s">
        <v>827</v>
      </c>
      <c r="D146" t="s">
        <v>22</v>
      </c>
      <c r="E146" t="s">
        <v>36</v>
      </c>
      <c r="F146" t="s">
        <v>72</v>
      </c>
      <c r="G146">
        <v>1</v>
      </c>
      <c r="H146" t="s">
        <v>96</v>
      </c>
      <c r="I146">
        <v>0</v>
      </c>
      <c r="J146">
        <v>48161</v>
      </c>
      <c r="K146" t="s">
        <v>18</v>
      </c>
      <c r="L146" t="s">
        <v>19</v>
      </c>
      <c r="M146">
        <v>72</v>
      </c>
      <c r="N146">
        <f>MONTH(QHSE[[#This Row],[Date]])</f>
        <v>4</v>
      </c>
    </row>
    <row r="147" spans="1:14" x14ac:dyDescent="0.3">
      <c r="A147" t="s">
        <v>422</v>
      </c>
      <c r="B147" t="s">
        <v>421</v>
      </c>
      <c r="C147" s="13" t="s">
        <v>827</v>
      </c>
      <c r="D147" t="s">
        <v>22</v>
      </c>
      <c r="E147" t="s">
        <v>15</v>
      </c>
      <c r="F147" t="s">
        <v>40</v>
      </c>
      <c r="G147">
        <v>2</v>
      </c>
      <c r="H147" t="s">
        <v>29</v>
      </c>
      <c r="I147">
        <v>0</v>
      </c>
      <c r="J147">
        <v>194278</v>
      </c>
      <c r="K147" t="s">
        <v>41</v>
      </c>
      <c r="L147" t="s">
        <v>46</v>
      </c>
      <c r="M147">
        <v>88</v>
      </c>
      <c r="N147">
        <f>MONTH(QHSE[[#This Row],[Date]])</f>
        <v>4</v>
      </c>
    </row>
    <row r="148" spans="1:14" x14ac:dyDescent="0.3">
      <c r="A148" t="s">
        <v>423</v>
      </c>
      <c r="B148" t="s">
        <v>421</v>
      </c>
      <c r="C148" s="13" t="s">
        <v>827</v>
      </c>
      <c r="D148" t="s">
        <v>27</v>
      </c>
      <c r="E148" t="s">
        <v>23</v>
      </c>
      <c r="F148" t="s">
        <v>72</v>
      </c>
      <c r="G148">
        <v>1</v>
      </c>
      <c r="H148" t="s">
        <v>53</v>
      </c>
      <c r="I148">
        <v>0</v>
      </c>
      <c r="J148">
        <v>44515</v>
      </c>
      <c r="K148" t="s">
        <v>18</v>
      </c>
      <c r="L148" t="s">
        <v>19</v>
      </c>
      <c r="M148">
        <v>80</v>
      </c>
      <c r="N148">
        <f>MONTH(QHSE[[#This Row],[Date]])</f>
        <v>4</v>
      </c>
    </row>
    <row r="149" spans="1:14" x14ac:dyDescent="0.3">
      <c r="A149" t="s">
        <v>424</v>
      </c>
      <c r="B149" t="s">
        <v>425</v>
      </c>
      <c r="C149" s="13" t="s">
        <v>827</v>
      </c>
      <c r="D149" t="s">
        <v>22</v>
      </c>
      <c r="E149" t="s">
        <v>39</v>
      </c>
      <c r="F149" t="s">
        <v>40</v>
      </c>
      <c r="G149">
        <v>1</v>
      </c>
      <c r="H149" t="s">
        <v>77</v>
      </c>
      <c r="I149">
        <v>0</v>
      </c>
      <c r="J149">
        <v>10084</v>
      </c>
      <c r="K149" t="s">
        <v>18</v>
      </c>
      <c r="L149" t="s">
        <v>19</v>
      </c>
      <c r="M149">
        <v>68</v>
      </c>
      <c r="N149">
        <f>MONTH(QHSE[[#This Row],[Date]])</f>
        <v>4</v>
      </c>
    </row>
    <row r="150" spans="1:14" x14ac:dyDescent="0.3">
      <c r="A150" t="s">
        <v>426</v>
      </c>
      <c r="B150" t="s">
        <v>425</v>
      </c>
      <c r="C150" s="13" t="s">
        <v>827</v>
      </c>
      <c r="D150" t="s">
        <v>27</v>
      </c>
      <c r="E150" t="s">
        <v>25</v>
      </c>
      <c r="F150" t="s">
        <v>37</v>
      </c>
      <c r="G150">
        <v>2</v>
      </c>
      <c r="H150" t="s">
        <v>96</v>
      </c>
      <c r="I150">
        <v>0</v>
      </c>
      <c r="J150">
        <v>193514</v>
      </c>
      <c r="K150" t="s">
        <v>18</v>
      </c>
      <c r="L150" t="s">
        <v>31</v>
      </c>
      <c r="M150">
        <v>91</v>
      </c>
      <c r="N150">
        <f>MONTH(QHSE[[#This Row],[Date]])</f>
        <v>4</v>
      </c>
    </row>
    <row r="151" spans="1:14" x14ac:dyDescent="0.3">
      <c r="A151" t="s">
        <v>427</v>
      </c>
      <c r="B151" t="s">
        <v>425</v>
      </c>
      <c r="C151" s="13" t="s">
        <v>827</v>
      </c>
      <c r="D151" t="s">
        <v>27</v>
      </c>
      <c r="E151" t="s">
        <v>39</v>
      </c>
      <c r="F151" t="s">
        <v>16</v>
      </c>
      <c r="G151">
        <v>2</v>
      </c>
      <c r="H151" t="s">
        <v>53</v>
      </c>
      <c r="I151">
        <v>5</v>
      </c>
      <c r="J151">
        <v>215917</v>
      </c>
      <c r="K151" t="s">
        <v>41</v>
      </c>
      <c r="L151" t="s">
        <v>19</v>
      </c>
      <c r="M151">
        <v>73</v>
      </c>
      <c r="N151">
        <f>MONTH(QHSE[[#This Row],[Date]])</f>
        <v>4</v>
      </c>
    </row>
    <row r="152" spans="1:14" x14ac:dyDescent="0.3">
      <c r="A152" t="s">
        <v>428</v>
      </c>
      <c r="B152" t="s">
        <v>429</v>
      </c>
      <c r="C152" s="13" t="s">
        <v>827</v>
      </c>
      <c r="D152" t="s">
        <v>14</v>
      </c>
      <c r="E152" t="s">
        <v>15</v>
      </c>
      <c r="F152" t="s">
        <v>28</v>
      </c>
      <c r="G152">
        <v>2</v>
      </c>
      <c r="H152" t="s">
        <v>49</v>
      </c>
      <c r="I152">
        <v>0</v>
      </c>
      <c r="J152">
        <v>58111</v>
      </c>
      <c r="K152" t="s">
        <v>18</v>
      </c>
      <c r="L152" t="s">
        <v>19</v>
      </c>
      <c r="M152">
        <v>80</v>
      </c>
      <c r="N152">
        <f>MONTH(QHSE[[#This Row],[Date]])</f>
        <v>4</v>
      </c>
    </row>
    <row r="153" spans="1:14" x14ac:dyDescent="0.3">
      <c r="A153" t="s">
        <v>430</v>
      </c>
      <c r="B153" t="s">
        <v>429</v>
      </c>
      <c r="C153" s="13" t="s">
        <v>827</v>
      </c>
      <c r="D153" t="s">
        <v>22</v>
      </c>
      <c r="E153" t="s">
        <v>25</v>
      </c>
      <c r="F153" t="s">
        <v>45</v>
      </c>
      <c r="G153">
        <v>2</v>
      </c>
      <c r="H153" t="s">
        <v>49</v>
      </c>
      <c r="I153">
        <v>0</v>
      </c>
      <c r="J153">
        <v>224319</v>
      </c>
      <c r="K153" t="s">
        <v>41</v>
      </c>
      <c r="L153" t="s">
        <v>23</v>
      </c>
      <c r="M153">
        <v>76</v>
      </c>
      <c r="N153">
        <f>MONTH(QHSE[[#This Row],[Date]])</f>
        <v>4</v>
      </c>
    </row>
    <row r="154" spans="1:14" x14ac:dyDescent="0.3">
      <c r="A154" t="s">
        <v>431</v>
      </c>
      <c r="B154" t="s">
        <v>432</v>
      </c>
      <c r="C154" s="13" t="s">
        <v>827</v>
      </c>
      <c r="D154" t="s">
        <v>14</v>
      </c>
      <c r="E154" t="s">
        <v>36</v>
      </c>
      <c r="F154" t="s">
        <v>28</v>
      </c>
      <c r="G154">
        <v>2</v>
      </c>
      <c r="H154" t="s">
        <v>53</v>
      </c>
      <c r="I154">
        <v>0</v>
      </c>
      <c r="J154">
        <v>101338</v>
      </c>
      <c r="K154" t="s">
        <v>18</v>
      </c>
      <c r="L154" t="s">
        <v>46</v>
      </c>
      <c r="M154">
        <v>95</v>
      </c>
      <c r="N154">
        <f>MONTH(QHSE[[#This Row],[Date]])</f>
        <v>4</v>
      </c>
    </row>
    <row r="155" spans="1:14" x14ac:dyDescent="0.3">
      <c r="A155" t="s">
        <v>433</v>
      </c>
      <c r="B155" t="s">
        <v>432</v>
      </c>
      <c r="C155" s="13" t="s">
        <v>827</v>
      </c>
      <c r="D155" t="s">
        <v>14</v>
      </c>
      <c r="E155" t="s">
        <v>60</v>
      </c>
      <c r="F155" t="s">
        <v>37</v>
      </c>
      <c r="G155">
        <v>1</v>
      </c>
      <c r="H155" t="s">
        <v>77</v>
      </c>
      <c r="I155">
        <v>0</v>
      </c>
      <c r="J155">
        <v>36611</v>
      </c>
      <c r="K155" t="s">
        <v>101</v>
      </c>
      <c r="L155" t="s">
        <v>23</v>
      </c>
      <c r="M155">
        <v>88</v>
      </c>
      <c r="N155">
        <f>MONTH(QHSE[[#This Row],[Date]])</f>
        <v>4</v>
      </c>
    </row>
    <row r="156" spans="1:14" x14ac:dyDescent="0.3">
      <c r="A156" t="s">
        <v>434</v>
      </c>
      <c r="B156" t="s">
        <v>432</v>
      </c>
      <c r="C156" s="13" t="s">
        <v>827</v>
      </c>
      <c r="D156" t="s">
        <v>22</v>
      </c>
      <c r="E156" t="s">
        <v>39</v>
      </c>
      <c r="F156" t="s">
        <v>45</v>
      </c>
      <c r="G156">
        <v>2</v>
      </c>
      <c r="H156" t="s">
        <v>49</v>
      </c>
      <c r="I156">
        <v>0</v>
      </c>
      <c r="J156">
        <v>210070</v>
      </c>
      <c r="K156" t="s">
        <v>101</v>
      </c>
      <c r="L156" t="s">
        <v>19</v>
      </c>
      <c r="M156">
        <v>78</v>
      </c>
      <c r="N156">
        <f>MONTH(QHSE[[#This Row],[Date]])</f>
        <v>4</v>
      </c>
    </row>
    <row r="157" spans="1:14" x14ac:dyDescent="0.3">
      <c r="A157" t="s">
        <v>435</v>
      </c>
      <c r="B157" t="s">
        <v>432</v>
      </c>
      <c r="C157" s="13" t="s">
        <v>827</v>
      </c>
      <c r="D157" t="s">
        <v>58</v>
      </c>
      <c r="E157" t="s">
        <v>25</v>
      </c>
      <c r="F157" t="s">
        <v>72</v>
      </c>
      <c r="G157">
        <v>2</v>
      </c>
      <c r="H157" t="s">
        <v>29</v>
      </c>
      <c r="I157">
        <v>0</v>
      </c>
      <c r="J157">
        <v>182532</v>
      </c>
      <c r="K157" t="s">
        <v>18</v>
      </c>
      <c r="L157" t="s">
        <v>31</v>
      </c>
      <c r="M157">
        <v>89</v>
      </c>
      <c r="N157">
        <f>MONTH(QHSE[[#This Row],[Date]])</f>
        <v>4</v>
      </c>
    </row>
    <row r="158" spans="1:14" x14ac:dyDescent="0.3">
      <c r="A158" t="s">
        <v>436</v>
      </c>
      <c r="B158" t="s">
        <v>437</v>
      </c>
      <c r="C158" s="13" t="s">
        <v>827</v>
      </c>
      <c r="D158" t="s">
        <v>33</v>
      </c>
      <c r="E158" t="s">
        <v>39</v>
      </c>
      <c r="F158" t="s">
        <v>40</v>
      </c>
      <c r="G158">
        <v>2</v>
      </c>
      <c r="H158" t="s">
        <v>17</v>
      </c>
      <c r="I158">
        <v>0</v>
      </c>
      <c r="J158">
        <v>68456</v>
      </c>
      <c r="K158" t="s">
        <v>18</v>
      </c>
      <c r="L158" t="s">
        <v>23</v>
      </c>
      <c r="M158">
        <v>98</v>
      </c>
      <c r="N158">
        <f>MONTH(QHSE[[#This Row],[Date]])</f>
        <v>4</v>
      </c>
    </row>
    <row r="159" spans="1:14" x14ac:dyDescent="0.3">
      <c r="A159" t="s">
        <v>438</v>
      </c>
      <c r="B159" t="s">
        <v>437</v>
      </c>
      <c r="C159" s="13" t="s">
        <v>827</v>
      </c>
      <c r="D159" t="s">
        <v>22</v>
      </c>
      <c r="E159" t="s">
        <v>25</v>
      </c>
      <c r="F159" t="s">
        <v>37</v>
      </c>
      <c r="G159">
        <v>1</v>
      </c>
      <c r="H159" t="s">
        <v>24</v>
      </c>
      <c r="I159">
        <v>0</v>
      </c>
      <c r="J159">
        <v>33852</v>
      </c>
      <c r="K159" t="s">
        <v>18</v>
      </c>
      <c r="L159" t="s">
        <v>23</v>
      </c>
      <c r="M159">
        <v>67</v>
      </c>
      <c r="N159">
        <f>MONTH(QHSE[[#This Row],[Date]])</f>
        <v>4</v>
      </c>
    </row>
    <row r="160" spans="1:14" x14ac:dyDescent="0.3">
      <c r="A160" t="s">
        <v>439</v>
      </c>
      <c r="B160" t="s">
        <v>440</v>
      </c>
      <c r="C160" s="13" t="s">
        <v>827</v>
      </c>
      <c r="D160" t="s">
        <v>22</v>
      </c>
      <c r="E160" t="s">
        <v>23</v>
      </c>
      <c r="F160" t="s">
        <v>37</v>
      </c>
      <c r="G160">
        <v>2</v>
      </c>
      <c r="H160" t="s">
        <v>53</v>
      </c>
      <c r="I160">
        <v>0</v>
      </c>
      <c r="J160">
        <v>159916</v>
      </c>
      <c r="K160" t="s">
        <v>30</v>
      </c>
      <c r="L160" t="s">
        <v>25</v>
      </c>
      <c r="M160">
        <v>88</v>
      </c>
      <c r="N160">
        <f>MONTH(QHSE[[#This Row],[Date]])</f>
        <v>4</v>
      </c>
    </row>
    <row r="161" spans="1:14" x14ac:dyDescent="0.3">
      <c r="A161" t="s">
        <v>441</v>
      </c>
      <c r="B161" t="s">
        <v>440</v>
      </c>
      <c r="C161" s="13" t="s">
        <v>827</v>
      </c>
      <c r="D161" t="s">
        <v>58</v>
      </c>
      <c r="E161" t="s">
        <v>36</v>
      </c>
      <c r="F161" t="s">
        <v>16</v>
      </c>
      <c r="G161">
        <v>4</v>
      </c>
      <c r="H161" t="s">
        <v>53</v>
      </c>
      <c r="I161">
        <v>5</v>
      </c>
      <c r="J161">
        <v>4601285</v>
      </c>
      <c r="K161" t="s">
        <v>18</v>
      </c>
      <c r="L161" t="s">
        <v>19</v>
      </c>
      <c r="M161">
        <v>73</v>
      </c>
      <c r="N161">
        <f>MONTH(QHSE[[#This Row],[Date]])</f>
        <v>4</v>
      </c>
    </row>
    <row r="162" spans="1:14" x14ac:dyDescent="0.3">
      <c r="A162" t="s">
        <v>442</v>
      </c>
      <c r="B162" t="s">
        <v>440</v>
      </c>
      <c r="C162" s="13" t="s">
        <v>827</v>
      </c>
      <c r="D162" t="s">
        <v>14</v>
      </c>
      <c r="E162" t="s">
        <v>39</v>
      </c>
      <c r="F162" t="s">
        <v>28</v>
      </c>
      <c r="G162">
        <v>3</v>
      </c>
      <c r="H162" t="s">
        <v>49</v>
      </c>
      <c r="I162">
        <v>0</v>
      </c>
      <c r="J162">
        <v>553179</v>
      </c>
      <c r="K162" t="s">
        <v>18</v>
      </c>
      <c r="L162" t="s">
        <v>31</v>
      </c>
      <c r="M162">
        <v>90</v>
      </c>
      <c r="N162">
        <f>MONTH(QHSE[[#This Row],[Date]])</f>
        <v>4</v>
      </c>
    </row>
    <row r="163" spans="1:14" x14ac:dyDescent="0.3">
      <c r="A163" t="s">
        <v>443</v>
      </c>
      <c r="B163" t="s">
        <v>444</v>
      </c>
      <c r="C163" s="13" t="s">
        <v>827</v>
      </c>
      <c r="D163" t="s">
        <v>22</v>
      </c>
      <c r="E163" t="s">
        <v>60</v>
      </c>
      <c r="F163" t="s">
        <v>37</v>
      </c>
      <c r="G163">
        <v>1</v>
      </c>
      <c r="H163" t="s">
        <v>77</v>
      </c>
      <c r="I163">
        <v>0</v>
      </c>
      <c r="J163">
        <v>22843</v>
      </c>
      <c r="K163" t="s">
        <v>18</v>
      </c>
      <c r="L163" t="s">
        <v>23</v>
      </c>
      <c r="M163">
        <v>84</v>
      </c>
      <c r="N163">
        <f>MONTH(QHSE[[#This Row],[Date]])</f>
        <v>4</v>
      </c>
    </row>
    <row r="164" spans="1:14" x14ac:dyDescent="0.3">
      <c r="A164" t="s">
        <v>445</v>
      </c>
      <c r="B164" t="s">
        <v>446</v>
      </c>
      <c r="C164" s="13" t="s">
        <v>827</v>
      </c>
      <c r="D164" t="s">
        <v>22</v>
      </c>
      <c r="E164" t="s">
        <v>60</v>
      </c>
      <c r="F164" t="s">
        <v>37</v>
      </c>
      <c r="G164">
        <v>2</v>
      </c>
      <c r="H164" t="s">
        <v>29</v>
      </c>
      <c r="I164">
        <v>0</v>
      </c>
      <c r="J164">
        <v>199970</v>
      </c>
      <c r="K164" t="s">
        <v>18</v>
      </c>
      <c r="L164" t="s">
        <v>23</v>
      </c>
      <c r="M164">
        <v>74</v>
      </c>
      <c r="N164">
        <f>MONTH(QHSE[[#This Row],[Date]])</f>
        <v>4</v>
      </c>
    </row>
    <row r="165" spans="1:14" x14ac:dyDescent="0.3">
      <c r="A165" t="s">
        <v>447</v>
      </c>
      <c r="B165" t="s">
        <v>448</v>
      </c>
      <c r="C165" s="13" t="s">
        <v>827</v>
      </c>
      <c r="D165" t="s">
        <v>27</v>
      </c>
      <c r="E165" t="s">
        <v>15</v>
      </c>
      <c r="F165" t="s">
        <v>72</v>
      </c>
      <c r="G165">
        <v>2</v>
      </c>
      <c r="H165" t="s">
        <v>77</v>
      </c>
      <c r="I165">
        <v>0</v>
      </c>
      <c r="J165">
        <v>132535</v>
      </c>
      <c r="K165" t="s">
        <v>18</v>
      </c>
      <c r="L165" t="s">
        <v>31</v>
      </c>
      <c r="M165">
        <v>83</v>
      </c>
      <c r="N165">
        <f>MONTH(QHSE[[#This Row],[Date]])</f>
        <v>4</v>
      </c>
    </row>
    <row r="166" spans="1:14" x14ac:dyDescent="0.3">
      <c r="A166" t="s">
        <v>449</v>
      </c>
      <c r="B166" t="s">
        <v>450</v>
      </c>
      <c r="C166" s="13" t="s">
        <v>827</v>
      </c>
      <c r="D166" t="s">
        <v>27</v>
      </c>
      <c r="E166" t="s">
        <v>25</v>
      </c>
      <c r="F166" t="s">
        <v>72</v>
      </c>
      <c r="G166">
        <v>2</v>
      </c>
      <c r="H166" t="s">
        <v>96</v>
      </c>
      <c r="I166">
        <v>0</v>
      </c>
      <c r="J166">
        <v>179219</v>
      </c>
      <c r="K166" t="s">
        <v>30</v>
      </c>
      <c r="L166" t="s">
        <v>19</v>
      </c>
      <c r="M166">
        <v>67</v>
      </c>
      <c r="N166">
        <f>MONTH(QHSE[[#This Row],[Date]])</f>
        <v>4</v>
      </c>
    </row>
    <row r="167" spans="1:14" x14ac:dyDescent="0.3">
      <c r="A167" t="s">
        <v>451</v>
      </c>
      <c r="B167" t="s">
        <v>450</v>
      </c>
      <c r="C167" s="13" t="s">
        <v>827</v>
      </c>
      <c r="D167" t="s">
        <v>14</v>
      </c>
      <c r="E167" t="s">
        <v>39</v>
      </c>
      <c r="F167" t="s">
        <v>45</v>
      </c>
      <c r="G167">
        <v>1</v>
      </c>
      <c r="H167" t="s">
        <v>96</v>
      </c>
      <c r="I167">
        <v>0</v>
      </c>
      <c r="J167">
        <v>35858</v>
      </c>
      <c r="K167" t="s">
        <v>101</v>
      </c>
      <c r="L167" t="s">
        <v>25</v>
      </c>
      <c r="M167">
        <v>88</v>
      </c>
      <c r="N167">
        <f>MONTH(QHSE[[#This Row],[Date]])</f>
        <v>4</v>
      </c>
    </row>
    <row r="168" spans="1:14" x14ac:dyDescent="0.3">
      <c r="A168" t="s">
        <v>452</v>
      </c>
      <c r="B168" t="s">
        <v>450</v>
      </c>
      <c r="C168" s="13" t="s">
        <v>827</v>
      </c>
      <c r="D168" t="s">
        <v>27</v>
      </c>
      <c r="E168" t="s">
        <v>15</v>
      </c>
      <c r="F168" t="s">
        <v>40</v>
      </c>
      <c r="G168">
        <v>2</v>
      </c>
      <c r="H168" t="s">
        <v>17</v>
      </c>
      <c r="I168">
        <v>0</v>
      </c>
      <c r="J168">
        <v>227607</v>
      </c>
      <c r="K168" t="s">
        <v>18</v>
      </c>
      <c r="L168" t="s">
        <v>23</v>
      </c>
      <c r="M168">
        <v>69</v>
      </c>
      <c r="N168">
        <f>MONTH(QHSE[[#This Row],[Date]])</f>
        <v>4</v>
      </c>
    </row>
    <row r="169" spans="1:14" x14ac:dyDescent="0.3">
      <c r="A169" t="s">
        <v>453</v>
      </c>
      <c r="B169" t="s">
        <v>454</v>
      </c>
      <c r="C169" s="13" t="s">
        <v>827</v>
      </c>
      <c r="D169" t="s">
        <v>27</v>
      </c>
      <c r="E169" t="s">
        <v>39</v>
      </c>
      <c r="F169" t="s">
        <v>40</v>
      </c>
      <c r="G169">
        <v>2</v>
      </c>
      <c r="H169" t="s">
        <v>49</v>
      </c>
      <c r="I169">
        <v>0</v>
      </c>
      <c r="J169">
        <v>169738</v>
      </c>
      <c r="K169" t="s">
        <v>18</v>
      </c>
      <c r="L169" t="s">
        <v>25</v>
      </c>
      <c r="M169">
        <v>67</v>
      </c>
      <c r="N169">
        <f>MONTH(QHSE[[#This Row],[Date]])</f>
        <v>4</v>
      </c>
    </row>
    <row r="170" spans="1:14" x14ac:dyDescent="0.3">
      <c r="A170" t="s">
        <v>455</v>
      </c>
      <c r="B170" t="s">
        <v>456</v>
      </c>
      <c r="C170" s="13" t="s">
        <v>827</v>
      </c>
      <c r="D170" t="s">
        <v>14</v>
      </c>
      <c r="E170" t="s">
        <v>25</v>
      </c>
      <c r="F170" t="s">
        <v>40</v>
      </c>
      <c r="G170">
        <v>1</v>
      </c>
      <c r="H170" t="s">
        <v>49</v>
      </c>
      <c r="I170">
        <v>0</v>
      </c>
      <c r="J170">
        <v>30086</v>
      </c>
      <c r="K170" t="s">
        <v>18</v>
      </c>
      <c r="L170" t="s">
        <v>46</v>
      </c>
      <c r="M170">
        <v>91</v>
      </c>
      <c r="N170">
        <f>MONTH(QHSE[[#This Row],[Date]])</f>
        <v>4</v>
      </c>
    </row>
    <row r="171" spans="1:14" x14ac:dyDescent="0.3">
      <c r="A171" t="s">
        <v>457</v>
      </c>
      <c r="B171" t="s">
        <v>456</v>
      </c>
      <c r="C171" s="13" t="s">
        <v>827</v>
      </c>
      <c r="D171" t="s">
        <v>22</v>
      </c>
      <c r="E171" t="s">
        <v>60</v>
      </c>
      <c r="F171" t="s">
        <v>40</v>
      </c>
      <c r="G171">
        <v>2</v>
      </c>
      <c r="H171" t="s">
        <v>49</v>
      </c>
      <c r="I171">
        <v>0</v>
      </c>
      <c r="J171">
        <v>77774</v>
      </c>
      <c r="K171" t="s">
        <v>41</v>
      </c>
      <c r="L171" t="s">
        <v>19</v>
      </c>
      <c r="M171">
        <v>80</v>
      </c>
      <c r="N171">
        <f>MONTH(QHSE[[#This Row],[Date]])</f>
        <v>4</v>
      </c>
    </row>
    <row r="172" spans="1:14" x14ac:dyDescent="0.3">
      <c r="A172" t="s">
        <v>458</v>
      </c>
      <c r="B172" t="s">
        <v>459</v>
      </c>
      <c r="C172" s="13" t="s">
        <v>827</v>
      </c>
      <c r="D172" t="s">
        <v>22</v>
      </c>
      <c r="E172" t="s">
        <v>23</v>
      </c>
      <c r="F172" t="s">
        <v>16</v>
      </c>
      <c r="G172">
        <v>4</v>
      </c>
      <c r="H172" t="s">
        <v>17</v>
      </c>
      <c r="I172">
        <v>2</v>
      </c>
      <c r="J172">
        <v>1462950</v>
      </c>
      <c r="K172" t="s">
        <v>41</v>
      </c>
      <c r="L172" t="s">
        <v>46</v>
      </c>
      <c r="M172">
        <v>79</v>
      </c>
      <c r="N172">
        <f>MONTH(QHSE[[#This Row],[Date]])</f>
        <v>4</v>
      </c>
    </row>
    <row r="173" spans="1:14" x14ac:dyDescent="0.3">
      <c r="A173" t="s">
        <v>460</v>
      </c>
      <c r="B173" t="s">
        <v>461</v>
      </c>
      <c r="C173" s="13" t="s">
        <v>827</v>
      </c>
      <c r="D173" t="s">
        <v>14</v>
      </c>
      <c r="E173" t="s">
        <v>60</v>
      </c>
      <c r="F173" t="s">
        <v>40</v>
      </c>
      <c r="G173">
        <v>2</v>
      </c>
      <c r="H173" t="s">
        <v>96</v>
      </c>
      <c r="I173">
        <v>0</v>
      </c>
      <c r="J173">
        <v>80864</v>
      </c>
      <c r="K173" t="s">
        <v>41</v>
      </c>
      <c r="L173" t="s">
        <v>46</v>
      </c>
      <c r="M173">
        <v>99</v>
      </c>
      <c r="N173">
        <f>MONTH(QHSE[[#This Row],[Date]])</f>
        <v>4</v>
      </c>
    </row>
    <row r="174" spans="1:14" x14ac:dyDescent="0.3">
      <c r="A174" t="s">
        <v>462</v>
      </c>
      <c r="B174" t="s">
        <v>463</v>
      </c>
      <c r="C174" s="13" t="s">
        <v>827</v>
      </c>
      <c r="D174" t="s">
        <v>58</v>
      </c>
      <c r="E174" t="s">
        <v>15</v>
      </c>
      <c r="F174" t="s">
        <v>45</v>
      </c>
      <c r="G174">
        <v>2</v>
      </c>
      <c r="H174" t="s">
        <v>77</v>
      </c>
      <c r="I174">
        <v>0</v>
      </c>
      <c r="J174">
        <v>84369</v>
      </c>
      <c r="K174" t="s">
        <v>101</v>
      </c>
      <c r="L174" t="s">
        <v>46</v>
      </c>
      <c r="M174">
        <v>76</v>
      </c>
      <c r="N174">
        <f>MONTH(QHSE[[#This Row],[Date]])</f>
        <v>4</v>
      </c>
    </row>
    <row r="175" spans="1:14" x14ac:dyDescent="0.3">
      <c r="A175" t="s">
        <v>464</v>
      </c>
      <c r="B175" t="s">
        <v>465</v>
      </c>
      <c r="C175" s="13" t="s">
        <v>827</v>
      </c>
      <c r="D175" t="s">
        <v>27</v>
      </c>
      <c r="E175" t="s">
        <v>36</v>
      </c>
      <c r="F175" t="s">
        <v>72</v>
      </c>
      <c r="G175">
        <v>2</v>
      </c>
      <c r="H175" t="s">
        <v>17</v>
      </c>
      <c r="I175">
        <v>0</v>
      </c>
      <c r="J175">
        <v>177575</v>
      </c>
      <c r="K175" t="s">
        <v>18</v>
      </c>
      <c r="L175" t="s">
        <v>19</v>
      </c>
      <c r="M175">
        <v>90</v>
      </c>
      <c r="N175">
        <f>MONTH(QHSE[[#This Row],[Date]])</f>
        <v>4</v>
      </c>
    </row>
    <row r="176" spans="1:14" x14ac:dyDescent="0.3">
      <c r="A176" t="s">
        <v>466</v>
      </c>
      <c r="B176" t="s">
        <v>467</v>
      </c>
      <c r="C176" s="13" t="s">
        <v>827</v>
      </c>
      <c r="D176" t="s">
        <v>27</v>
      </c>
      <c r="E176" t="s">
        <v>23</v>
      </c>
      <c r="F176" t="s">
        <v>40</v>
      </c>
      <c r="G176">
        <v>1</v>
      </c>
      <c r="H176" t="s">
        <v>17</v>
      </c>
      <c r="I176">
        <v>0</v>
      </c>
      <c r="J176">
        <v>39639</v>
      </c>
      <c r="K176" t="s">
        <v>41</v>
      </c>
      <c r="L176" t="s">
        <v>19</v>
      </c>
      <c r="M176">
        <v>98</v>
      </c>
      <c r="N176">
        <f>MONTH(QHSE[[#This Row],[Date]])</f>
        <v>4</v>
      </c>
    </row>
    <row r="177" spans="1:14" x14ac:dyDescent="0.3">
      <c r="A177" t="s">
        <v>468</v>
      </c>
      <c r="B177" t="s">
        <v>469</v>
      </c>
      <c r="C177" s="13" t="s">
        <v>827</v>
      </c>
      <c r="D177" t="s">
        <v>22</v>
      </c>
      <c r="E177" t="s">
        <v>15</v>
      </c>
      <c r="F177" t="s">
        <v>28</v>
      </c>
      <c r="G177">
        <v>3</v>
      </c>
      <c r="H177" t="s">
        <v>77</v>
      </c>
      <c r="I177">
        <v>0</v>
      </c>
      <c r="J177">
        <v>647493</v>
      </c>
      <c r="K177" t="s">
        <v>30</v>
      </c>
      <c r="L177" t="s">
        <v>31</v>
      </c>
      <c r="M177">
        <v>87</v>
      </c>
      <c r="N177">
        <f>MONTH(QHSE[[#This Row],[Date]])</f>
        <v>4</v>
      </c>
    </row>
    <row r="178" spans="1:14" x14ac:dyDescent="0.3">
      <c r="A178" t="s">
        <v>470</v>
      </c>
      <c r="B178" t="s">
        <v>469</v>
      </c>
      <c r="C178" s="13" t="s">
        <v>827</v>
      </c>
      <c r="D178" t="s">
        <v>27</v>
      </c>
      <c r="E178" t="s">
        <v>25</v>
      </c>
      <c r="F178" t="s">
        <v>72</v>
      </c>
      <c r="G178">
        <v>2</v>
      </c>
      <c r="H178" t="s">
        <v>49</v>
      </c>
      <c r="I178">
        <v>0</v>
      </c>
      <c r="J178">
        <v>215803</v>
      </c>
      <c r="K178" t="s">
        <v>18</v>
      </c>
      <c r="L178" t="s">
        <v>25</v>
      </c>
      <c r="M178">
        <v>95</v>
      </c>
      <c r="N178">
        <f>MONTH(QHSE[[#This Row],[Date]])</f>
        <v>4</v>
      </c>
    </row>
    <row r="179" spans="1:14" x14ac:dyDescent="0.3">
      <c r="A179" t="s">
        <v>471</v>
      </c>
      <c r="B179" t="s">
        <v>469</v>
      </c>
      <c r="C179" s="13" t="s">
        <v>827</v>
      </c>
      <c r="D179" t="s">
        <v>27</v>
      </c>
      <c r="E179" t="s">
        <v>23</v>
      </c>
      <c r="F179" t="s">
        <v>16</v>
      </c>
      <c r="G179">
        <v>3</v>
      </c>
      <c r="H179" t="s">
        <v>29</v>
      </c>
      <c r="I179">
        <v>6</v>
      </c>
      <c r="J179">
        <v>993447</v>
      </c>
      <c r="K179" t="s">
        <v>101</v>
      </c>
      <c r="L179" t="s">
        <v>25</v>
      </c>
      <c r="M179">
        <v>84</v>
      </c>
      <c r="N179">
        <f>MONTH(QHSE[[#This Row],[Date]])</f>
        <v>4</v>
      </c>
    </row>
    <row r="180" spans="1:14" x14ac:dyDescent="0.3">
      <c r="A180" t="s">
        <v>472</v>
      </c>
      <c r="B180" t="s">
        <v>473</v>
      </c>
      <c r="C180" s="13" t="s">
        <v>828</v>
      </c>
      <c r="D180" t="s">
        <v>22</v>
      </c>
      <c r="E180" t="s">
        <v>15</v>
      </c>
      <c r="F180" t="s">
        <v>72</v>
      </c>
      <c r="G180">
        <v>1</v>
      </c>
      <c r="H180" t="s">
        <v>77</v>
      </c>
      <c r="I180">
        <v>0</v>
      </c>
      <c r="J180">
        <v>42800</v>
      </c>
      <c r="K180" t="s">
        <v>18</v>
      </c>
      <c r="L180" t="s">
        <v>31</v>
      </c>
      <c r="M180">
        <v>76</v>
      </c>
      <c r="N180">
        <f>MONTH(QHSE[[#This Row],[Date]])</f>
        <v>5</v>
      </c>
    </row>
    <row r="181" spans="1:14" x14ac:dyDescent="0.3">
      <c r="A181" t="s">
        <v>474</v>
      </c>
      <c r="B181" t="s">
        <v>475</v>
      </c>
      <c r="C181" s="13" t="s">
        <v>828</v>
      </c>
      <c r="D181" t="s">
        <v>22</v>
      </c>
      <c r="E181" t="s">
        <v>25</v>
      </c>
      <c r="F181" t="s">
        <v>16</v>
      </c>
      <c r="G181">
        <v>4</v>
      </c>
      <c r="H181" t="s">
        <v>96</v>
      </c>
      <c r="I181">
        <v>9</v>
      </c>
      <c r="J181">
        <v>3779529</v>
      </c>
      <c r="K181" t="s">
        <v>30</v>
      </c>
      <c r="L181" t="s">
        <v>31</v>
      </c>
      <c r="M181">
        <v>87</v>
      </c>
      <c r="N181">
        <f>MONTH(QHSE[[#This Row],[Date]])</f>
        <v>5</v>
      </c>
    </row>
    <row r="182" spans="1:14" x14ac:dyDescent="0.3">
      <c r="A182" t="s">
        <v>476</v>
      </c>
      <c r="B182" t="s">
        <v>477</v>
      </c>
      <c r="C182" s="13" t="s">
        <v>828</v>
      </c>
      <c r="D182" t="s">
        <v>27</v>
      </c>
      <c r="E182" t="s">
        <v>60</v>
      </c>
      <c r="F182" t="s">
        <v>16</v>
      </c>
      <c r="G182">
        <v>3</v>
      </c>
      <c r="H182" t="s">
        <v>53</v>
      </c>
      <c r="I182">
        <v>2</v>
      </c>
      <c r="J182">
        <v>649369</v>
      </c>
      <c r="K182" t="s">
        <v>18</v>
      </c>
      <c r="L182" t="s">
        <v>46</v>
      </c>
      <c r="M182">
        <v>68</v>
      </c>
      <c r="N182">
        <f>MONTH(QHSE[[#This Row],[Date]])</f>
        <v>5</v>
      </c>
    </row>
    <row r="183" spans="1:14" x14ac:dyDescent="0.3">
      <c r="A183" t="s">
        <v>478</v>
      </c>
      <c r="B183" t="s">
        <v>477</v>
      </c>
      <c r="C183" s="13" t="s">
        <v>828</v>
      </c>
      <c r="D183" t="s">
        <v>22</v>
      </c>
      <c r="E183" t="s">
        <v>36</v>
      </c>
      <c r="F183" t="s">
        <v>16</v>
      </c>
      <c r="G183">
        <v>4</v>
      </c>
      <c r="H183" t="s">
        <v>53</v>
      </c>
      <c r="I183">
        <v>10</v>
      </c>
      <c r="J183">
        <v>2795412</v>
      </c>
      <c r="K183" t="s">
        <v>18</v>
      </c>
      <c r="L183" t="s">
        <v>31</v>
      </c>
      <c r="M183">
        <v>87</v>
      </c>
      <c r="N183">
        <f>MONTH(QHSE[[#This Row],[Date]])</f>
        <v>5</v>
      </c>
    </row>
    <row r="184" spans="1:14" x14ac:dyDescent="0.3">
      <c r="A184" t="s">
        <v>479</v>
      </c>
      <c r="B184" t="s">
        <v>477</v>
      </c>
      <c r="C184" s="13" t="s">
        <v>828</v>
      </c>
      <c r="D184" t="s">
        <v>22</v>
      </c>
      <c r="E184" t="s">
        <v>25</v>
      </c>
      <c r="F184" t="s">
        <v>45</v>
      </c>
      <c r="G184">
        <v>2</v>
      </c>
      <c r="H184" t="s">
        <v>24</v>
      </c>
      <c r="I184">
        <v>0</v>
      </c>
      <c r="J184">
        <v>66878</v>
      </c>
      <c r="K184" t="s">
        <v>30</v>
      </c>
      <c r="L184" t="s">
        <v>23</v>
      </c>
      <c r="M184">
        <v>65</v>
      </c>
      <c r="N184">
        <f>MONTH(QHSE[[#This Row],[Date]])</f>
        <v>5</v>
      </c>
    </row>
    <row r="185" spans="1:14" x14ac:dyDescent="0.3">
      <c r="A185" t="s">
        <v>480</v>
      </c>
      <c r="B185" t="s">
        <v>481</v>
      </c>
      <c r="C185" s="13" t="s">
        <v>828</v>
      </c>
      <c r="D185" t="s">
        <v>22</v>
      </c>
      <c r="E185" t="s">
        <v>39</v>
      </c>
      <c r="F185" t="s">
        <v>16</v>
      </c>
      <c r="G185">
        <v>3</v>
      </c>
      <c r="H185" t="s">
        <v>24</v>
      </c>
      <c r="I185">
        <v>2</v>
      </c>
      <c r="J185">
        <v>549526</v>
      </c>
      <c r="K185" t="s">
        <v>18</v>
      </c>
      <c r="L185" t="s">
        <v>25</v>
      </c>
      <c r="M185">
        <v>89</v>
      </c>
      <c r="N185">
        <f>MONTH(QHSE[[#This Row],[Date]])</f>
        <v>5</v>
      </c>
    </row>
    <row r="186" spans="1:14" x14ac:dyDescent="0.3">
      <c r="A186" t="s">
        <v>482</v>
      </c>
      <c r="B186" t="s">
        <v>483</v>
      </c>
      <c r="C186" s="13" t="s">
        <v>828</v>
      </c>
      <c r="D186" t="s">
        <v>22</v>
      </c>
      <c r="E186" t="s">
        <v>25</v>
      </c>
      <c r="F186" t="s">
        <v>16</v>
      </c>
      <c r="G186">
        <v>3</v>
      </c>
      <c r="H186" t="s">
        <v>17</v>
      </c>
      <c r="I186">
        <v>3</v>
      </c>
      <c r="J186">
        <v>932600</v>
      </c>
      <c r="K186" t="s">
        <v>18</v>
      </c>
      <c r="L186" t="s">
        <v>31</v>
      </c>
      <c r="M186">
        <v>66</v>
      </c>
      <c r="N186">
        <f>MONTH(QHSE[[#This Row],[Date]])</f>
        <v>5</v>
      </c>
    </row>
    <row r="187" spans="1:14" x14ac:dyDescent="0.3">
      <c r="A187" t="s">
        <v>484</v>
      </c>
      <c r="B187" t="s">
        <v>485</v>
      </c>
      <c r="C187" s="13" t="s">
        <v>828</v>
      </c>
      <c r="D187" t="s">
        <v>22</v>
      </c>
      <c r="E187" t="s">
        <v>25</v>
      </c>
      <c r="F187" t="s">
        <v>28</v>
      </c>
      <c r="G187">
        <v>3</v>
      </c>
      <c r="H187" t="s">
        <v>53</v>
      </c>
      <c r="I187">
        <v>0</v>
      </c>
      <c r="J187">
        <v>856016</v>
      </c>
      <c r="K187" t="s">
        <v>18</v>
      </c>
      <c r="L187" t="s">
        <v>23</v>
      </c>
      <c r="M187">
        <v>94</v>
      </c>
      <c r="N187">
        <f>MONTH(QHSE[[#This Row],[Date]])</f>
        <v>5</v>
      </c>
    </row>
    <row r="188" spans="1:14" x14ac:dyDescent="0.3">
      <c r="A188" t="s">
        <v>486</v>
      </c>
      <c r="B188" t="s">
        <v>485</v>
      </c>
      <c r="C188" s="13" t="s">
        <v>828</v>
      </c>
      <c r="D188" t="s">
        <v>58</v>
      </c>
      <c r="E188" t="s">
        <v>36</v>
      </c>
      <c r="F188" t="s">
        <v>40</v>
      </c>
      <c r="G188">
        <v>1</v>
      </c>
      <c r="H188" t="s">
        <v>29</v>
      </c>
      <c r="I188">
        <v>0</v>
      </c>
      <c r="J188">
        <v>18642</v>
      </c>
      <c r="K188" t="s">
        <v>41</v>
      </c>
      <c r="L188" t="s">
        <v>23</v>
      </c>
      <c r="M188">
        <v>67</v>
      </c>
      <c r="N188">
        <f>MONTH(QHSE[[#This Row],[Date]])</f>
        <v>5</v>
      </c>
    </row>
    <row r="189" spans="1:14" x14ac:dyDescent="0.3">
      <c r="A189" t="s">
        <v>487</v>
      </c>
      <c r="B189" t="s">
        <v>485</v>
      </c>
      <c r="C189" s="13" t="s">
        <v>828</v>
      </c>
      <c r="D189" t="s">
        <v>27</v>
      </c>
      <c r="E189" t="s">
        <v>39</v>
      </c>
      <c r="F189" t="s">
        <v>37</v>
      </c>
      <c r="G189">
        <v>1</v>
      </c>
      <c r="H189" t="s">
        <v>49</v>
      </c>
      <c r="I189">
        <v>0</v>
      </c>
      <c r="J189">
        <v>28664</v>
      </c>
      <c r="K189" t="s">
        <v>18</v>
      </c>
      <c r="L189" t="s">
        <v>23</v>
      </c>
      <c r="M189">
        <v>85</v>
      </c>
      <c r="N189">
        <f>MONTH(QHSE[[#This Row],[Date]])</f>
        <v>5</v>
      </c>
    </row>
    <row r="190" spans="1:14" x14ac:dyDescent="0.3">
      <c r="A190" t="s">
        <v>488</v>
      </c>
      <c r="B190" t="s">
        <v>485</v>
      </c>
      <c r="C190" s="13" t="s">
        <v>828</v>
      </c>
      <c r="D190" t="s">
        <v>14</v>
      </c>
      <c r="E190" t="s">
        <v>15</v>
      </c>
      <c r="F190" t="s">
        <v>40</v>
      </c>
      <c r="G190">
        <v>1</v>
      </c>
      <c r="H190" t="s">
        <v>96</v>
      </c>
      <c r="I190">
        <v>0</v>
      </c>
      <c r="J190">
        <v>42668</v>
      </c>
      <c r="K190" t="s">
        <v>18</v>
      </c>
      <c r="L190" t="s">
        <v>23</v>
      </c>
      <c r="M190">
        <v>89</v>
      </c>
      <c r="N190">
        <f>MONTH(QHSE[[#This Row],[Date]])</f>
        <v>5</v>
      </c>
    </row>
    <row r="191" spans="1:14" x14ac:dyDescent="0.3">
      <c r="A191" t="s">
        <v>489</v>
      </c>
      <c r="B191" t="s">
        <v>490</v>
      </c>
      <c r="C191" s="13" t="s">
        <v>828</v>
      </c>
      <c r="D191" t="s">
        <v>14</v>
      </c>
      <c r="E191" t="s">
        <v>15</v>
      </c>
      <c r="F191" t="s">
        <v>16</v>
      </c>
      <c r="G191">
        <v>4</v>
      </c>
      <c r="H191" t="s">
        <v>24</v>
      </c>
      <c r="I191">
        <v>13</v>
      </c>
      <c r="J191">
        <v>1269538</v>
      </c>
      <c r="K191" t="s">
        <v>41</v>
      </c>
      <c r="L191" t="s">
        <v>46</v>
      </c>
      <c r="M191">
        <v>84</v>
      </c>
      <c r="N191">
        <f>MONTH(QHSE[[#This Row],[Date]])</f>
        <v>5</v>
      </c>
    </row>
    <row r="192" spans="1:14" x14ac:dyDescent="0.3">
      <c r="A192" t="s">
        <v>491</v>
      </c>
      <c r="B192" t="s">
        <v>490</v>
      </c>
      <c r="C192" s="13" t="s">
        <v>828</v>
      </c>
      <c r="D192" t="s">
        <v>27</v>
      </c>
      <c r="E192" t="s">
        <v>25</v>
      </c>
      <c r="F192" t="s">
        <v>28</v>
      </c>
      <c r="G192">
        <v>2</v>
      </c>
      <c r="H192" t="s">
        <v>29</v>
      </c>
      <c r="I192">
        <v>0</v>
      </c>
      <c r="J192">
        <v>127478</v>
      </c>
      <c r="K192" t="s">
        <v>41</v>
      </c>
      <c r="L192" t="s">
        <v>23</v>
      </c>
      <c r="M192">
        <v>86</v>
      </c>
      <c r="N192">
        <f>MONTH(QHSE[[#This Row],[Date]])</f>
        <v>5</v>
      </c>
    </row>
    <row r="193" spans="1:14" x14ac:dyDescent="0.3">
      <c r="A193" t="s">
        <v>492</v>
      </c>
      <c r="B193" t="s">
        <v>490</v>
      </c>
      <c r="C193" s="13" t="s">
        <v>828</v>
      </c>
      <c r="D193" t="s">
        <v>22</v>
      </c>
      <c r="E193" t="s">
        <v>39</v>
      </c>
      <c r="F193" t="s">
        <v>72</v>
      </c>
      <c r="G193">
        <v>1</v>
      </c>
      <c r="H193" t="s">
        <v>96</v>
      </c>
      <c r="I193">
        <v>0</v>
      </c>
      <c r="J193">
        <v>44073</v>
      </c>
      <c r="K193" t="s">
        <v>18</v>
      </c>
      <c r="L193" t="s">
        <v>46</v>
      </c>
      <c r="M193">
        <v>85</v>
      </c>
      <c r="N193">
        <f>MONTH(QHSE[[#This Row],[Date]])</f>
        <v>5</v>
      </c>
    </row>
    <row r="194" spans="1:14" x14ac:dyDescent="0.3">
      <c r="A194" t="s">
        <v>493</v>
      </c>
      <c r="B194" t="s">
        <v>494</v>
      </c>
      <c r="C194" s="13" t="s">
        <v>828</v>
      </c>
      <c r="D194" t="s">
        <v>27</v>
      </c>
      <c r="E194" t="s">
        <v>39</v>
      </c>
      <c r="F194" t="s">
        <v>28</v>
      </c>
      <c r="G194">
        <v>2</v>
      </c>
      <c r="H194" t="s">
        <v>96</v>
      </c>
      <c r="I194">
        <v>0</v>
      </c>
      <c r="J194">
        <v>130779</v>
      </c>
      <c r="K194" t="s">
        <v>30</v>
      </c>
      <c r="L194" t="s">
        <v>46</v>
      </c>
      <c r="M194">
        <v>97</v>
      </c>
      <c r="N194">
        <f>MONTH(QHSE[[#This Row],[Date]])</f>
        <v>5</v>
      </c>
    </row>
    <row r="195" spans="1:14" x14ac:dyDescent="0.3">
      <c r="A195" t="s">
        <v>495</v>
      </c>
      <c r="B195" t="s">
        <v>494</v>
      </c>
      <c r="C195" s="13" t="s">
        <v>828</v>
      </c>
      <c r="D195" t="s">
        <v>27</v>
      </c>
      <c r="E195" t="s">
        <v>36</v>
      </c>
      <c r="F195" t="s">
        <v>16</v>
      </c>
      <c r="G195">
        <v>3</v>
      </c>
      <c r="H195" t="s">
        <v>49</v>
      </c>
      <c r="I195">
        <v>7</v>
      </c>
      <c r="J195">
        <v>308210</v>
      </c>
      <c r="K195" t="s">
        <v>41</v>
      </c>
      <c r="L195" t="s">
        <v>23</v>
      </c>
      <c r="M195">
        <v>79</v>
      </c>
      <c r="N195">
        <f>MONTH(QHSE[[#This Row],[Date]])</f>
        <v>5</v>
      </c>
    </row>
    <row r="196" spans="1:14" x14ac:dyDescent="0.3">
      <c r="A196" t="s">
        <v>496</v>
      </c>
      <c r="B196" t="s">
        <v>497</v>
      </c>
      <c r="C196" s="13" t="s">
        <v>828</v>
      </c>
      <c r="D196" t="s">
        <v>14</v>
      </c>
      <c r="E196" t="s">
        <v>60</v>
      </c>
      <c r="F196" t="s">
        <v>28</v>
      </c>
      <c r="G196">
        <v>3</v>
      </c>
      <c r="H196" t="s">
        <v>17</v>
      </c>
      <c r="I196">
        <v>0</v>
      </c>
      <c r="J196">
        <v>656900</v>
      </c>
      <c r="K196" t="s">
        <v>41</v>
      </c>
      <c r="L196" t="s">
        <v>25</v>
      </c>
      <c r="M196">
        <v>79</v>
      </c>
      <c r="N196">
        <f>MONTH(QHSE[[#This Row],[Date]])</f>
        <v>5</v>
      </c>
    </row>
    <row r="197" spans="1:14" x14ac:dyDescent="0.3">
      <c r="A197" t="s">
        <v>498</v>
      </c>
      <c r="B197" t="s">
        <v>497</v>
      </c>
      <c r="C197" s="13" t="s">
        <v>828</v>
      </c>
      <c r="D197" t="s">
        <v>27</v>
      </c>
      <c r="E197" t="s">
        <v>15</v>
      </c>
      <c r="F197" t="s">
        <v>40</v>
      </c>
      <c r="G197">
        <v>2</v>
      </c>
      <c r="H197" t="s">
        <v>53</v>
      </c>
      <c r="I197">
        <v>0</v>
      </c>
      <c r="J197">
        <v>222348</v>
      </c>
      <c r="K197" t="s">
        <v>18</v>
      </c>
      <c r="L197" t="s">
        <v>23</v>
      </c>
      <c r="M197">
        <v>89</v>
      </c>
      <c r="N197">
        <f>MONTH(QHSE[[#This Row],[Date]])</f>
        <v>5</v>
      </c>
    </row>
    <row r="198" spans="1:14" x14ac:dyDescent="0.3">
      <c r="A198" t="s">
        <v>499</v>
      </c>
      <c r="B198" t="s">
        <v>500</v>
      </c>
      <c r="C198" s="13" t="s">
        <v>828</v>
      </c>
      <c r="D198" t="s">
        <v>22</v>
      </c>
      <c r="E198" t="s">
        <v>36</v>
      </c>
      <c r="F198" t="s">
        <v>28</v>
      </c>
      <c r="G198">
        <v>2</v>
      </c>
      <c r="H198" t="s">
        <v>49</v>
      </c>
      <c r="I198">
        <v>0</v>
      </c>
      <c r="J198">
        <v>168057</v>
      </c>
      <c r="K198" t="s">
        <v>18</v>
      </c>
      <c r="L198" t="s">
        <v>23</v>
      </c>
      <c r="M198">
        <v>85</v>
      </c>
      <c r="N198">
        <f>MONTH(QHSE[[#This Row],[Date]])</f>
        <v>5</v>
      </c>
    </row>
    <row r="199" spans="1:14" x14ac:dyDescent="0.3">
      <c r="A199" t="s">
        <v>501</v>
      </c>
      <c r="B199" t="s">
        <v>502</v>
      </c>
      <c r="C199" s="13" t="s">
        <v>828</v>
      </c>
      <c r="D199" t="s">
        <v>22</v>
      </c>
      <c r="E199" t="s">
        <v>23</v>
      </c>
      <c r="F199" t="s">
        <v>16</v>
      </c>
      <c r="G199">
        <v>4</v>
      </c>
      <c r="H199" t="s">
        <v>29</v>
      </c>
      <c r="I199">
        <v>6</v>
      </c>
      <c r="J199">
        <v>1905116</v>
      </c>
      <c r="K199" t="s">
        <v>18</v>
      </c>
      <c r="L199" t="s">
        <v>23</v>
      </c>
      <c r="M199">
        <v>88</v>
      </c>
      <c r="N199">
        <f>MONTH(QHSE[[#This Row],[Date]])</f>
        <v>5</v>
      </c>
    </row>
    <row r="200" spans="1:14" x14ac:dyDescent="0.3">
      <c r="A200" t="s">
        <v>503</v>
      </c>
      <c r="B200" t="s">
        <v>502</v>
      </c>
      <c r="C200" s="13" t="s">
        <v>828</v>
      </c>
      <c r="D200" t="s">
        <v>27</v>
      </c>
      <c r="E200" t="s">
        <v>15</v>
      </c>
      <c r="F200" t="s">
        <v>45</v>
      </c>
      <c r="G200">
        <v>2</v>
      </c>
      <c r="H200" t="s">
        <v>17</v>
      </c>
      <c r="I200">
        <v>0</v>
      </c>
      <c r="J200">
        <v>126847</v>
      </c>
      <c r="K200" t="s">
        <v>18</v>
      </c>
      <c r="L200" t="s">
        <v>25</v>
      </c>
      <c r="M200">
        <v>69</v>
      </c>
      <c r="N200">
        <f>MONTH(QHSE[[#This Row],[Date]])</f>
        <v>5</v>
      </c>
    </row>
    <row r="201" spans="1:14" x14ac:dyDescent="0.3">
      <c r="A201" t="s">
        <v>504</v>
      </c>
      <c r="B201" t="s">
        <v>502</v>
      </c>
      <c r="C201" s="13" t="s">
        <v>828</v>
      </c>
      <c r="D201" t="s">
        <v>14</v>
      </c>
      <c r="E201" t="s">
        <v>36</v>
      </c>
      <c r="F201" t="s">
        <v>40</v>
      </c>
      <c r="G201">
        <v>2</v>
      </c>
      <c r="H201" t="s">
        <v>29</v>
      </c>
      <c r="I201">
        <v>0</v>
      </c>
      <c r="J201">
        <v>140024</v>
      </c>
      <c r="K201" t="s">
        <v>18</v>
      </c>
      <c r="L201" t="s">
        <v>19</v>
      </c>
      <c r="M201">
        <v>70</v>
      </c>
      <c r="N201">
        <f>MONTH(QHSE[[#This Row],[Date]])</f>
        <v>5</v>
      </c>
    </row>
    <row r="202" spans="1:14" x14ac:dyDescent="0.3">
      <c r="A202" t="s">
        <v>505</v>
      </c>
      <c r="B202" t="s">
        <v>506</v>
      </c>
      <c r="C202" s="13" t="s">
        <v>828</v>
      </c>
      <c r="D202" t="s">
        <v>27</v>
      </c>
      <c r="E202" t="s">
        <v>15</v>
      </c>
      <c r="F202" t="s">
        <v>28</v>
      </c>
      <c r="G202">
        <v>2</v>
      </c>
      <c r="H202" t="s">
        <v>17</v>
      </c>
      <c r="I202">
        <v>0</v>
      </c>
      <c r="J202">
        <v>165853</v>
      </c>
      <c r="K202" t="s">
        <v>18</v>
      </c>
      <c r="L202" t="s">
        <v>19</v>
      </c>
      <c r="M202">
        <v>87</v>
      </c>
      <c r="N202">
        <f>MONTH(QHSE[[#This Row],[Date]])</f>
        <v>5</v>
      </c>
    </row>
    <row r="203" spans="1:14" x14ac:dyDescent="0.3">
      <c r="A203" t="s">
        <v>507</v>
      </c>
      <c r="B203" t="s">
        <v>508</v>
      </c>
      <c r="C203" s="13" t="s">
        <v>828</v>
      </c>
      <c r="D203" t="s">
        <v>27</v>
      </c>
      <c r="E203" t="s">
        <v>60</v>
      </c>
      <c r="F203" t="s">
        <v>37</v>
      </c>
      <c r="G203">
        <v>2</v>
      </c>
      <c r="H203" t="s">
        <v>24</v>
      </c>
      <c r="I203">
        <v>0</v>
      </c>
      <c r="J203">
        <v>201870</v>
      </c>
      <c r="K203" t="s">
        <v>30</v>
      </c>
      <c r="L203" t="s">
        <v>46</v>
      </c>
      <c r="M203">
        <v>68</v>
      </c>
      <c r="N203">
        <f>MONTH(QHSE[[#This Row],[Date]])</f>
        <v>5</v>
      </c>
    </row>
    <row r="204" spans="1:14" x14ac:dyDescent="0.3">
      <c r="A204" t="s">
        <v>509</v>
      </c>
      <c r="B204" t="s">
        <v>508</v>
      </c>
      <c r="C204" s="13" t="s">
        <v>828</v>
      </c>
      <c r="D204" t="s">
        <v>33</v>
      </c>
      <c r="E204" t="s">
        <v>23</v>
      </c>
      <c r="F204" t="s">
        <v>37</v>
      </c>
      <c r="G204">
        <v>2</v>
      </c>
      <c r="H204" t="s">
        <v>29</v>
      </c>
      <c r="I204">
        <v>0</v>
      </c>
      <c r="J204">
        <v>69774</v>
      </c>
      <c r="K204" t="s">
        <v>18</v>
      </c>
      <c r="L204" t="s">
        <v>46</v>
      </c>
      <c r="M204">
        <v>91</v>
      </c>
      <c r="N204">
        <f>MONTH(QHSE[[#This Row],[Date]])</f>
        <v>5</v>
      </c>
    </row>
    <row r="205" spans="1:14" x14ac:dyDescent="0.3">
      <c r="A205" t="s">
        <v>510</v>
      </c>
      <c r="B205" t="s">
        <v>511</v>
      </c>
      <c r="C205" s="13" t="s">
        <v>828</v>
      </c>
      <c r="D205" t="s">
        <v>14</v>
      </c>
      <c r="E205" t="s">
        <v>60</v>
      </c>
      <c r="F205" t="s">
        <v>28</v>
      </c>
      <c r="G205">
        <v>3</v>
      </c>
      <c r="H205" t="s">
        <v>49</v>
      </c>
      <c r="I205">
        <v>0</v>
      </c>
      <c r="J205">
        <v>917239</v>
      </c>
      <c r="K205" t="s">
        <v>18</v>
      </c>
      <c r="L205" t="s">
        <v>25</v>
      </c>
      <c r="M205">
        <v>82</v>
      </c>
      <c r="N205">
        <f>MONTH(QHSE[[#This Row],[Date]])</f>
        <v>5</v>
      </c>
    </row>
    <row r="206" spans="1:14" x14ac:dyDescent="0.3">
      <c r="A206" t="s">
        <v>512</v>
      </c>
      <c r="B206" t="s">
        <v>513</v>
      </c>
      <c r="C206" s="13" t="s">
        <v>828</v>
      </c>
      <c r="D206" t="s">
        <v>22</v>
      </c>
      <c r="E206" t="s">
        <v>23</v>
      </c>
      <c r="F206" t="s">
        <v>45</v>
      </c>
      <c r="G206">
        <v>2</v>
      </c>
      <c r="H206" t="s">
        <v>17</v>
      </c>
      <c r="I206">
        <v>0</v>
      </c>
      <c r="J206">
        <v>52461</v>
      </c>
      <c r="K206" t="s">
        <v>41</v>
      </c>
      <c r="L206" t="s">
        <v>31</v>
      </c>
      <c r="M206">
        <v>85</v>
      </c>
      <c r="N206">
        <f>MONTH(QHSE[[#This Row],[Date]])</f>
        <v>5</v>
      </c>
    </row>
    <row r="207" spans="1:14" x14ac:dyDescent="0.3">
      <c r="A207" t="s">
        <v>514</v>
      </c>
      <c r="B207" t="s">
        <v>515</v>
      </c>
      <c r="C207" s="13" t="s">
        <v>828</v>
      </c>
      <c r="D207" t="s">
        <v>22</v>
      </c>
      <c r="E207" t="s">
        <v>25</v>
      </c>
      <c r="F207" t="s">
        <v>72</v>
      </c>
      <c r="G207">
        <v>3</v>
      </c>
      <c r="H207" t="s">
        <v>17</v>
      </c>
      <c r="I207">
        <v>0</v>
      </c>
      <c r="J207">
        <v>527539</v>
      </c>
      <c r="K207" t="s">
        <v>18</v>
      </c>
      <c r="L207" t="s">
        <v>19</v>
      </c>
      <c r="M207">
        <v>92</v>
      </c>
      <c r="N207">
        <f>MONTH(QHSE[[#This Row],[Date]])</f>
        <v>5</v>
      </c>
    </row>
    <row r="208" spans="1:14" x14ac:dyDescent="0.3">
      <c r="A208" t="s">
        <v>516</v>
      </c>
      <c r="B208" t="s">
        <v>515</v>
      </c>
      <c r="C208" s="13" t="s">
        <v>828</v>
      </c>
      <c r="D208" t="s">
        <v>22</v>
      </c>
      <c r="E208" t="s">
        <v>36</v>
      </c>
      <c r="F208" t="s">
        <v>16</v>
      </c>
      <c r="G208">
        <v>3</v>
      </c>
      <c r="H208" t="s">
        <v>96</v>
      </c>
      <c r="I208">
        <v>12</v>
      </c>
      <c r="J208">
        <v>270565</v>
      </c>
      <c r="K208" t="s">
        <v>18</v>
      </c>
      <c r="L208" t="s">
        <v>46</v>
      </c>
      <c r="M208">
        <v>99</v>
      </c>
      <c r="N208">
        <f>MONTH(QHSE[[#This Row],[Date]])</f>
        <v>5</v>
      </c>
    </row>
    <row r="209" spans="1:14" x14ac:dyDescent="0.3">
      <c r="A209" t="s">
        <v>517</v>
      </c>
      <c r="B209" t="s">
        <v>515</v>
      </c>
      <c r="C209" s="13" t="s">
        <v>828</v>
      </c>
      <c r="D209" t="s">
        <v>22</v>
      </c>
      <c r="E209" t="s">
        <v>23</v>
      </c>
      <c r="F209" t="s">
        <v>37</v>
      </c>
      <c r="G209">
        <v>1</v>
      </c>
      <c r="H209" t="s">
        <v>96</v>
      </c>
      <c r="I209">
        <v>0</v>
      </c>
      <c r="J209">
        <v>25718</v>
      </c>
      <c r="K209" t="s">
        <v>41</v>
      </c>
      <c r="L209" t="s">
        <v>19</v>
      </c>
      <c r="M209">
        <v>86</v>
      </c>
      <c r="N209">
        <f>MONTH(QHSE[[#This Row],[Date]])</f>
        <v>5</v>
      </c>
    </row>
    <row r="210" spans="1:14" x14ac:dyDescent="0.3">
      <c r="A210" t="s">
        <v>518</v>
      </c>
      <c r="B210" t="s">
        <v>515</v>
      </c>
      <c r="C210" s="13" t="s">
        <v>828</v>
      </c>
      <c r="D210" t="s">
        <v>22</v>
      </c>
      <c r="E210" t="s">
        <v>60</v>
      </c>
      <c r="F210" t="s">
        <v>72</v>
      </c>
      <c r="G210">
        <v>3</v>
      </c>
      <c r="H210" t="s">
        <v>77</v>
      </c>
      <c r="I210">
        <v>0</v>
      </c>
      <c r="J210">
        <v>644359</v>
      </c>
      <c r="K210" t="s">
        <v>18</v>
      </c>
      <c r="L210" t="s">
        <v>25</v>
      </c>
      <c r="M210">
        <v>87</v>
      </c>
      <c r="N210">
        <f>MONTH(QHSE[[#This Row],[Date]])</f>
        <v>5</v>
      </c>
    </row>
    <row r="211" spans="1:14" x14ac:dyDescent="0.3">
      <c r="A211" t="s">
        <v>519</v>
      </c>
      <c r="B211" t="s">
        <v>520</v>
      </c>
      <c r="C211" s="13" t="s">
        <v>828</v>
      </c>
      <c r="D211" t="s">
        <v>22</v>
      </c>
      <c r="E211" t="s">
        <v>15</v>
      </c>
      <c r="F211" t="s">
        <v>28</v>
      </c>
      <c r="G211">
        <v>3</v>
      </c>
      <c r="H211" t="s">
        <v>29</v>
      </c>
      <c r="I211">
        <v>0</v>
      </c>
      <c r="J211">
        <v>633761</v>
      </c>
      <c r="K211" t="s">
        <v>30</v>
      </c>
      <c r="L211" t="s">
        <v>25</v>
      </c>
      <c r="M211">
        <v>67</v>
      </c>
      <c r="N211">
        <f>MONTH(QHSE[[#This Row],[Date]])</f>
        <v>5</v>
      </c>
    </row>
    <row r="212" spans="1:14" x14ac:dyDescent="0.3">
      <c r="A212" t="s">
        <v>521</v>
      </c>
      <c r="B212" t="s">
        <v>520</v>
      </c>
      <c r="C212" s="13" t="s">
        <v>828</v>
      </c>
      <c r="D212" t="s">
        <v>22</v>
      </c>
      <c r="E212" t="s">
        <v>23</v>
      </c>
      <c r="F212" t="s">
        <v>72</v>
      </c>
      <c r="G212">
        <v>3</v>
      </c>
      <c r="H212" t="s">
        <v>96</v>
      </c>
      <c r="I212">
        <v>0</v>
      </c>
      <c r="J212">
        <v>374221</v>
      </c>
      <c r="K212" t="s">
        <v>30</v>
      </c>
      <c r="L212" t="s">
        <v>31</v>
      </c>
      <c r="M212">
        <v>74</v>
      </c>
      <c r="N212">
        <f>MONTH(QHSE[[#This Row],[Date]])</f>
        <v>5</v>
      </c>
    </row>
    <row r="213" spans="1:14" x14ac:dyDescent="0.3">
      <c r="A213" t="s">
        <v>522</v>
      </c>
      <c r="B213" t="s">
        <v>520</v>
      </c>
      <c r="C213" s="13" t="s">
        <v>828</v>
      </c>
      <c r="D213" t="s">
        <v>22</v>
      </c>
      <c r="E213" t="s">
        <v>36</v>
      </c>
      <c r="F213" t="s">
        <v>40</v>
      </c>
      <c r="G213">
        <v>2</v>
      </c>
      <c r="H213" t="s">
        <v>77</v>
      </c>
      <c r="I213">
        <v>0</v>
      </c>
      <c r="J213">
        <v>179148</v>
      </c>
      <c r="K213" t="s">
        <v>18</v>
      </c>
      <c r="L213" t="s">
        <v>31</v>
      </c>
      <c r="M213">
        <v>89</v>
      </c>
      <c r="N213">
        <f>MONTH(QHSE[[#This Row],[Date]])</f>
        <v>5</v>
      </c>
    </row>
    <row r="214" spans="1:14" x14ac:dyDescent="0.3">
      <c r="A214" t="s">
        <v>523</v>
      </c>
      <c r="B214" t="s">
        <v>520</v>
      </c>
      <c r="C214" s="13" t="s">
        <v>828</v>
      </c>
      <c r="D214" t="s">
        <v>58</v>
      </c>
      <c r="E214" t="s">
        <v>23</v>
      </c>
      <c r="F214" t="s">
        <v>40</v>
      </c>
      <c r="G214">
        <v>2</v>
      </c>
      <c r="H214" t="s">
        <v>24</v>
      </c>
      <c r="I214">
        <v>0</v>
      </c>
      <c r="J214">
        <v>58955</v>
      </c>
      <c r="K214" t="s">
        <v>41</v>
      </c>
      <c r="L214" t="s">
        <v>25</v>
      </c>
      <c r="M214">
        <v>72</v>
      </c>
      <c r="N214">
        <f>MONTH(QHSE[[#This Row],[Date]])</f>
        <v>5</v>
      </c>
    </row>
    <row r="215" spans="1:14" x14ac:dyDescent="0.3">
      <c r="A215" t="s">
        <v>524</v>
      </c>
      <c r="B215" t="s">
        <v>525</v>
      </c>
      <c r="C215" s="13" t="s">
        <v>828</v>
      </c>
      <c r="D215" t="s">
        <v>22</v>
      </c>
      <c r="E215" t="s">
        <v>39</v>
      </c>
      <c r="F215" t="s">
        <v>37</v>
      </c>
      <c r="G215">
        <v>1</v>
      </c>
      <c r="H215" t="s">
        <v>24</v>
      </c>
      <c r="I215">
        <v>0</v>
      </c>
      <c r="J215">
        <v>40476</v>
      </c>
      <c r="K215" t="s">
        <v>18</v>
      </c>
      <c r="L215" t="s">
        <v>46</v>
      </c>
      <c r="M215">
        <v>75</v>
      </c>
      <c r="N215">
        <f>MONTH(QHSE[[#This Row],[Date]])</f>
        <v>5</v>
      </c>
    </row>
    <row r="216" spans="1:14" x14ac:dyDescent="0.3">
      <c r="A216" t="s">
        <v>526</v>
      </c>
      <c r="B216" t="s">
        <v>527</v>
      </c>
      <c r="C216" s="13" t="s">
        <v>828</v>
      </c>
      <c r="D216" t="s">
        <v>27</v>
      </c>
      <c r="E216" t="s">
        <v>15</v>
      </c>
      <c r="F216" t="s">
        <v>28</v>
      </c>
      <c r="G216">
        <v>3</v>
      </c>
      <c r="H216" t="s">
        <v>96</v>
      </c>
      <c r="I216">
        <v>0</v>
      </c>
      <c r="J216">
        <v>959983</v>
      </c>
      <c r="K216" t="s">
        <v>18</v>
      </c>
      <c r="L216" t="s">
        <v>19</v>
      </c>
      <c r="M216">
        <v>69</v>
      </c>
      <c r="N216">
        <f>MONTH(QHSE[[#This Row],[Date]])</f>
        <v>5</v>
      </c>
    </row>
    <row r="217" spans="1:14" x14ac:dyDescent="0.3">
      <c r="A217" t="s">
        <v>528</v>
      </c>
      <c r="B217" t="s">
        <v>529</v>
      </c>
      <c r="C217" s="13" t="s">
        <v>828</v>
      </c>
      <c r="D217" t="s">
        <v>27</v>
      </c>
      <c r="E217" t="s">
        <v>36</v>
      </c>
      <c r="F217" t="s">
        <v>16</v>
      </c>
      <c r="G217">
        <v>2</v>
      </c>
      <c r="H217" t="s">
        <v>29</v>
      </c>
      <c r="I217">
        <v>8</v>
      </c>
      <c r="J217">
        <v>117953</v>
      </c>
      <c r="K217" t="s">
        <v>18</v>
      </c>
      <c r="L217" t="s">
        <v>23</v>
      </c>
      <c r="M217">
        <v>93</v>
      </c>
      <c r="N217">
        <f>MONTH(QHSE[[#This Row],[Date]])</f>
        <v>5</v>
      </c>
    </row>
    <row r="218" spans="1:14" x14ac:dyDescent="0.3">
      <c r="A218" t="s">
        <v>530</v>
      </c>
      <c r="B218" t="s">
        <v>529</v>
      </c>
      <c r="C218" s="13" t="s">
        <v>828</v>
      </c>
      <c r="D218" t="s">
        <v>33</v>
      </c>
      <c r="E218" t="s">
        <v>36</v>
      </c>
      <c r="F218" t="s">
        <v>45</v>
      </c>
      <c r="G218">
        <v>1</v>
      </c>
      <c r="H218" t="s">
        <v>17</v>
      </c>
      <c r="I218">
        <v>0</v>
      </c>
      <c r="J218">
        <v>30689</v>
      </c>
      <c r="K218" t="s">
        <v>18</v>
      </c>
      <c r="L218" t="s">
        <v>31</v>
      </c>
      <c r="M218">
        <v>69</v>
      </c>
      <c r="N218">
        <f>MONTH(QHSE[[#This Row],[Date]])</f>
        <v>5</v>
      </c>
    </row>
    <row r="219" spans="1:14" x14ac:dyDescent="0.3">
      <c r="A219" t="s">
        <v>531</v>
      </c>
      <c r="B219" t="s">
        <v>529</v>
      </c>
      <c r="C219" s="13" t="s">
        <v>828</v>
      </c>
      <c r="D219" t="s">
        <v>22</v>
      </c>
      <c r="E219" t="s">
        <v>25</v>
      </c>
      <c r="F219" t="s">
        <v>40</v>
      </c>
      <c r="G219">
        <v>2</v>
      </c>
      <c r="H219" t="s">
        <v>53</v>
      </c>
      <c r="I219">
        <v>0</v>
      </c>
      <c r="J219">
        <v>125782</v>
      </c>
      <c r="K219" t="s">
        <v>101</v>
      </c>
      <c r="L219" t="s">
        <v>23</v>
      </c>
      <c r="M219">
        <v>73</v>
      </c>
      <c r="N219">
        <f>MONTH(QHSE[[#This Row],[Date]])</f>
        <v>5</v>
      </c>
    </row>
    <row r="220" spans="1:14" x14ac:dyDescent="0.3">
      <c r="A220" t="s">
        <v>532</v>
      </c>
      <c r="B220" t="s">
        <v>533</v>
      </c>
      <c r="C220" s="13" t="s">
        <v>828</v>
      </c>
      <c r="D220" t="s">
        <v>27</v>
      </c>
      <c r="E220" t="s">
        <v>60</v>
      </c>
      <c r="F220" t="s">
        <v>28</v>
      </c>
      <c r="G220">
        <v>2</v>
      </c>
      <c r="H220" t="s">
        <v>29</v>
      </c>
      <c r="I220">
        <v>0</v>
      </c>
      <c r="J220">
        <v>51342</v>
      </c>
      <c r="K220" t="s">
        <v>18</v>
      </c>
      <c r="L220" t="s">
        <v>46</v>
      </c>
      <c r="M220">
        <v>66</v>
      </c>
      <c r="N220">
        <f>MONTH(QHSE[[#This Row],[Date]])</f>
        <v>5</v>
      </c>
    </row>
    <row r="221" spans="1:14" x14ac:dyDescent="0.3">
      <c r="A221" t="s">
        <v>534</v>
      </c>
      <c r="B221" t="s">
        <v>533</v>
      </c>
      <c r="C221" s="13" t="s">
        <v>828</v>
      </c>
      <c r="D221" t="s">
        <v>33</v>
      </c>
      <c r="E221" t="s">
        <v>25</v>
      </c>
      <c r="F221" t="s">
        <v>16</v>
      </c>
      <c r="G221">
        <v>3</v>
      </c>
      <c r="H221" t="s">
        <v>49</v>
      </c>
      <c r="I221">
        <v>8</v>
      </c>
      <c r="J221">
        <v>539405</v>
      </c>
      <c r="K221" t="s">
        <v>18</v>
      </c>
      <c r="L221" t="s">
        <v>31</v>
      </c>
      <c r="M221">
        <v>65</v>
      </c>
      <c r="N221">
        <f>MONTH(QHSE[[#This Row],[Date]])</f>
        <v>5</v>
      </c>
    </row>
    <row r="222" spans="1:14" x14ac:dyDescent="0.3">
      <c r="A222" t="s">
        <v>535</v>
      </c>
      <c r="B222" t="s">
        <v>536</v>
      </c>
      <c r="C222" s="13" t="s">
        <v>828</v>
      </c>
      <c r="D222" t="s">
        <v>58</v>
      </c>
      <c r="E222" t="s">
        <v>36</v>
      </c>
      <c r="F222" t="s">
        <v>45</v>
      </c>
      <c r="G222">
        <v>2</v>
      </c>
      <c r="H222" t="s">
        <v>24</v>
      </c>
      <c r="I222">
        <v>0</v>
      </c>
      <c r="J222">
        <v>208344</v>
      </c>
      <c r="K222" t="s">
        <v>18</v>
      </c>
      <c r="L222" t="s">
        <v>23</v>
      </c>
      <c r="M222">
        <v>94</v>
      </c>
      <c r="N222">
        <f>MONTH(QHSE[[#This Row],[Date]])</f>
        <v>5</v>
      </c>
    </row>
    <row r="223" spans="1:14" x14ac:dyDescent="0.3">
      <c r="A223" t="s">
        <v>537</v>
      </c>
      <c r="B223" t="s">
        <v>538</v>
      </c>
      <c r="C223" s="13" t="s">
        <v>828</v>
      </c>
      <c r="D223" t="s">
        <v>58</v>
      </c>
      <c r="E223" t="s">
        <v>15</v>
      </c>
      <c r="F223" t="s">
        <v>45</v>
      </c>
      <c r="G223">
        <v>2</v>
      </c>
      <c r="H223" t="s">
        <v>96</v>
      </c>
      <c r="I223">
        <v>0</v>
      </c>
      <c r="J223">
        <v>169197</v>
      </c>
      <c r="K223" t="s">
        <v>18</v>
      </c>
      <c r="L223" t="s">
        <v>46</v>
      </c>
      <c r="M223">
        <v>75</v>
      </c>
      <c r="N223">
        <f>MONTH(QHSE[[#This Row],[Date]])</f>
        <v>5</v>
      </c>
    </row>
    <row r="224" spans="1:14" x14ac:dyDescent="0.3">
      <c r="A224" t="s">
        <v>539</v>
      </c>
      <c r="B224" t="s">
        <v>540</v>
      </c>
      <c r="C224" s="13" t="s">
        <v>828</v>
      </c>
      <c r="D224" t="s">
        <v>22</v>
      </c>
      <c r="E224" t="s">
        <v>23</v>
      </c>
      <c r="F224" t="s">
        <v>28</v>
      </c>
      <c r="G224">
        <v>3</v>
      </c>
      <c r="H224" t="s">
        <v>96</v>
      </c>
      <c r="I224">
        <v>0</v>
      </c>
      <c r="J224">
        <v>325944</v>
      </c>
      <c r="K224" t="s">
        <v>18</v>
      </c>
      <c r="L224" t="s">
        <v>19</v>
      </c>
      <c r="M224">
        <v>92</v>
      </c>
      <c r="N224">
        <f>MONTH(QHSE[[#This Row],[Date]])</f>
        <v>5</v>
      </c>
    </row>
    <row r="225" spans="1:14" x14ac:dyDescent="0.3">
      <c r="A225" t="s">
        <v>541</v>
      </c>
      <c r="B225" t="s">
        <v>542</v>
      </c>
      <c r="C225" s="13" t="s">
        <v>828</v>
      </c>
      <c r="D225" t="s">
        <v>22</v>
      </c>
      <c r="E225" t="s">
        <v>23</v>
      </c>
      <c r="F225" t="s">
        <v>40</v>
      </c>
      <c r="G225">
        <v>1</v>
      </c>
      <c r="H225" t="s">
        <v>17</v>
      </c>
      <c r="I225">
        <v>0</v>
      </c>
      <c r="J225">
        <v>43885</v>
      </c>
      <c r="K225" t="s">
        <v>18</v>
      </c>
      <c r="L225" t="s">
        <v>46</v>
      </c>
      <c r="M225">
        <v>76</v>
      </c>
      <c r="N225">
        <f>MONTH(QHSE[[#This Row],[Date]])</f>
        <v>5</v>
      </c>
    </row>
    <row r="226" spans="1:14" x14ac:dyDescent="0.3">
      <c r="A226" t="s">
        <v>543</v>
      </c>
      <c r="B226" t="s">
        <v>544</v>
      </c>
      <c r="C226" s="13" t="s">
        <v>828</v>
      </c>
      <c r="D226" t="s">
        <v>14</v>
      </c>
      <c r="E226" t="s">
        <v>15</v>
      </c>
      <c r="F226" t="s">
        <v>72</v>
      </c>
      <c r="G226">
        <v>1</v>
      </c>
      <c r="H226" t="s">
        <v>49</v>
      </c>
      <c r="I226">
        <v>0</v>
      </c>
      <c r="J226">
        <v>31243</v>
      </c>
      <c r="K226" t="s">
        <v>30</v>
      </c>
      <c r="L226" t="s">
        <v>31</v>
      </c>
      <c r="M226">
        <v>90</v>
      </c>
      <c r="N226">
        <f>MONTH(QHSE[[#This Row],[Date]])</f>
        <v>5</v>
      </c>
    </row>
    <row r="227" spans="1:14" x14ac:dyDescent="0.3">
      <c r="A227" t="s">
        <v>545</v>
      </c>
      <c r="B227" t="s">
        <v>546</v>
      </c>
      <c r="C227" s="13" t="s">
        <v>829</v>
      </c>
      <c r="D227" t="s">
        <v>33</v>
      </c>
      <c r="E227" t="s">
        <v>36</v>
      </c>
      <c r="F227" t="s">
        <v>72</v>
      </c>
      <c r="G227">
        <v>1</v>
      </c>
      <c r="H227" t="s">
        <v>17</v>
      </c>
      <c r="I227">
        <v>0</v>
      </c>
      <c r="J227">
        <v>43668</v>
      </c>
      <c r="K227" t="s">
        <v>18</v>
      </c>
      <c r="L227" t="s">
        <v>25</v>
      </c>
      <c r="M227">
        <v>77</v>
      </c>
      <c r="N227">
        <f>MONTH(QHSE[[#This Row],[Date]])</f>
        <v>6</v>
      </c>
    </row>
    <row r="228" spans="1:14" x14ac:dyDescent="0.3">
      <c r="A228" t="s">
        <v>547</v>
      </c>
      <c r="B228" t="s">
        <v>548</v>
      </c>
      <c r="C228" s="13" t="s">
        <v>829</v>
      </c>
      <c r="D228" t="s">
        <v>27</v>
      </c>
      <c r="E228" t="s">
        <v>23</v>
      </c>
      <c r="F228" t="s">
        <v>45</v>
      </c>
      <c r="G228">
        <v>2</v>
      </c>
      <c r="H228" t="s">
        <v>49</v>
      </c>
      <c r="I228">
        <v>0</v>
      </c>
      <c r="J228">
        <v>166044</v>
      </c>
      <c r="K228" t="s">
        <v>18</v>
      </c>
      <c r="L228" t="s">
        <v>19</v>
      </c>
      <c r="M228">
        <v>72</v>
      </c>
      <c r="N228">
        <f>MONTH(QHSE[[#This Row],[Date]])</f>
        <v>6</v>
      </c>
    </row>
    <row r="229" spans="1:14" x14ac:dyDescent="0.3">
      <c r="A229" t="s">
        <v>549</v>
      </c>
      <c r="B229" t="s">
        <v>548</v>
      </c>
      <c r="C229" s="13" t="s">
        <v>829</v>
      </c>
      <c r="D229" t="s">
        <v>27</v>
      </c>
      <c r="E229" t="s">
        <v>23</v>
      </c>
      <c r="F229" t="s">
        <v>72</v>
      </c>
      <c r="G229">
        <v>2</v>
      </c>
      <c r="H229" t="s">
        <v>53</v>
      </c>
      <c r="I229">
        <v>0</v>
      </c>
      <c r="J229">
        <v>161937</v>
      </c>
      <c r="K229" t="s">
        <v>18</v>
      </c>
      <c r="L229" t="s">
        <v>23</v>
      </c>
      <c r="M229">
        <v>92</v>
      </c>
      <c r="N229">
        <f>MONTH(QHSE[[#This Row],[Date]])</f>
        <v>6</v>
      </c>
    </row>
    <row r="230" spans="1:14" x14ac:dyDescent="0.3">
      <c r="A230" t="s">
        <v>550</v>
      </c>
      <c r="B230" t="s">
        <v>551</v>
      </c>
      <c r="C230" s="13" t="s">
        <v>829</v>
      </c>
      <c r="D230" t="s">
        <v>22</v>
      </c>
      <c r="E230" t="s">
        <v>23</v>
      </c>
      <c r="F230" t="s">
        <v>40</v>
      </c>
      <c r="G230">
        <v>2</v>
      </c>
      <c r="H230" t="s">
        <v>24</v>
      </c>
      <c r="I230">
        <v>0</v>
      </c>
      <c r="J230">
        <v>71051</v>
      </c>
      <c r="K230" t="s">
        <v>18</v>
      </c>
      <c r="L230" t="s">
        <v>31</v>
      </c>
      <c r="M230">
        <v>94</v>
      </c>
      <c r="N230">
        <f>MONTH(QHSE[[#This Row],[Date]])</f>
        <v>6</v>
      </c>
    </row>
    <row r="231" spans="1:14" x14ac:dyDescent="0.3">
      <c r="A231" t="s">
        <v>552</v>
      </c>
      <c r="B231" t="s">
        <v>551</v>
      </c>
      <c r="C231" s="13" t="s">
        <v>829</v>
      </c>
      <c r="D231" t="s">
        <v>14</v>
      </c>
      <c r="E231" t="s">
        <v>60</v>
      </c>
      <c r="F231" t="s">
        <v>45</v>
      </c>
      <c r="G231">
        <v>2</v>
      </c>
      <c r="H231" t="s">
        <v>96</v>
      </c>
      <c r="I231">
        <v>0</v>
      </c>
      <c r="J231">
        <v>83471</v>
      </c>
      <c r="K231" t="s">
        <v>41</v>
      </c>
      <c r="L231" t="s">
        <v>25</v>
      </c>
      <c r="M231">
        <v>73</v>
      </c>
      <c r="N231">
        <f>MONTH(QHSE[[#This Row],[Date]])</f>
        <v>6</v>
      </c>
    </row>
    <row r="232" spans="1:14" x14ac:dyDescent="0.3">
      <c r="A232" t="s">
        <v>553</v>
      </c>
      <c r="B232" t="s">
        <v>551</v>
      </c>
      <c r="C232" s="13" t="s">
        <v>829</v>
      </c>
      <c r="D232" t="s">
        <v>22</v>
      </c>
      <c r="E232" t="s">
        <v>60</v>
      </c>
      <c r="F232" t="s">
        <v>45</v>
      </c>
      <c r="G232">
        <v>1</v>
      </c>
      <c r="H232" t="s">
        <v>96</v>
      </c>
      <c r="I232">
        <v>0</v>
      </c>
      <c r="J232">
        <v>48881</v>
      </c>
      <c r="K232" t="s">
        <v>18</v>
      </c>
      <c r="L232" t="s">
        <v>46</v>
      </c>
      <c r="M232">
        <v>95</v>
      </c>
      <c r="N232">
        <f>MONTH(QHSE[[#This Row],[Date]])</f>
        <v>6</v>
      </c>
    </row>
    <row r="233" spans="1:14" x14ac:dyDescent="0.3">
      <c r="A233" t="s">
        <v>554</v>
      </c>
      <c r="B233" t="s">
        <v>555</v>
      </c>
      <c r="C233" s="13" t="s">
        <v>829</v>
      </c>
      <c r="D233" t="s">
        <v>22</v>
      </c>
      <c r="E233" t="s">
        <v>39</v>
      </c>
      <c r="F233" t="s">
        <v>16</v>
      </c>
      <c r="G233">
        <v>3</v>
      </c>
      <c r="H233" t="s">
        <v>53</v>
      </c>
      <c r="I233">
        <v>6</v>
      </c>
      <c r="J233">
        <v>421365</v>
      </c>
      <c r="K233" t="s">
        <v>18</v>
      </c>
      <c r="L233" t="s">
        <v>25</v>
      </c>
      <c r="M233">
        <v>85</v>
      </c>
      <c r="N233">
        <f>MONTH(QHSE[[#This Row],[Date]])</f>
        <v>6</v>
      </c>
    </row>
    <row r="234" spans="1:14" x14ac:dyDescent="0.3">
      <c r="A234" t="s">
        <v>556</v>
      </c>
      <c r="B234" t="s">
        <v>555</v>
      </c>
      <c r="C234" s="13" t="s">
        <v>829</v>
      </c>
      <c r="D234" t="s">
        <v>27</v>
      </c>
      <c r="E234" t="s">
        <v>25</v>
      </c>
      <c r="F234" t="s">
        <v>72</v>
      </c>
      <c r="G234">
        <v>1</v>
      </c>
      <c r="H234" t="s">
        <v>77</v>
      </c>
      <c r="I234">
        <v>0</v>
      </c>
      <c r="J234">
        <v>49098</v>
      </c>
      <c r="K234" t="s">
        <v>18</v>
      </c>
      <c r="L234" t="s">
        <v>31</v>
      </c>
      <c r="M234">
        <v>98</v>
      </c>
      <c r="N234">
        <f>MONTH(QHSE[[#This Row],[Date]])</f>
        <v>6</v>
      </c>
    </row>
    <row r="235" spans="1:14" x14ac:dyDescent="0.3">
      <c r="A235" t="s">
        <v>557</v>
      </c>
      <c r="B235" t="s">
        <v>558</v>
      </c>
      <c r="C235" s="13" t="s">
        <v>829</v>
      </c>
      <c r="D235" t="s">
        <v>27</v>
      </c>
      <c r="E235" t="s">
        <v>15</v>
      </c>
      <c r="F235" t="s">
        <v>40</v>
      </c>
      <c r="G235">
        <v>1</v>
      </c>
      <c r="H235" t="s">
        <v>24</v>
      </c>
      <c r="I235">
        <v>0</v>
      </c>
      <c r="J235">
        <v>31276</v>
      </c>
      <c r="K235" t="s">
        <v>30</v>
      </c>
      <c r="L235" t="s">
        <v>31</v>
      </c>
      <c r="M235">
        <v>95</v>
      </c>
      <c r="N235">
        <f>MONTH(QHSE[[#This Row],[Date]])</f>
        <v>6</v>
      </c>
    </row>
    <row r="236" spans="1:14" x14ac:dyDescent="0.3">
      <c r="A236" t="s">
        <v>559</v>
      </c>
      <c r="B236" t="s">
        <v>558</v>
      </c>
      <c r="C236" s="13" t="s">
        <v>829</v>
      </c>
      <c r="D236" t="s">
        <v>22</v>
      </c>
      <c r="E236" t="s">
        <v>15</v>
      </c>
      <c r="F236" t="s">
        <v>45</v>
      </c>
      <c r="G236">
        <v>2</v>
      </c>
      <c r="H236" t="s">
        <v>17</v>
      </c>
      <c r="I236">
        <v>0</v>
      </c>
      <c r="J236">
        <v>77157</v>
      </c>
      <c r="K236" t="s">
        <v>30</v>
      </c>
      <c r="L236" t="s">
        <v>25</v>
      </c>
      <c r="M236">
        <v>89</v>
      </c>
      <c r="N236">
        <f>MONTH(QHSE[[#This Row],[Date]])</f>
        <v>6</v>
      </c>
    </row>
    <row r="237" spans="1:14" x14ac:dyDescent="0.3">
      <c r="A237" t="s">
        <v>560</v>
      </c>
      <c r="B237" t="s">
        <v>558</v>
      </c>
      <c r="C237" s="13" t="s">
        <v>829</v>
      </c>
      <c r="D237" t="s">
        <v>22</v>
      </c>
      <c r="E237" t="s">
        <v>15</v>
      </c>
      <c r="F237" t="s">
        <v>40</v>
      </c>
      <c r="G237">
        <v>1</v>
      </c>
      <c r="H237" t="s">
        <v>53</v>
      </c>
      <c r="I237">
        <v>0</v>
      </c>
      <c r="J237">
        <v>13972</v>
      </c>
      <c r="K237" t="s">
        <v>18</v>
      </c>
      <c r="L237" t="s">
        <v>46</v>
      </c>
      <c r="M237">
        <v>76</v>
      </c>
      <c r="N237">
        <f>MONTH(QHSE[[#This Row],[Date]])</f>
        <v>6</v>
      </c>
    </row>
    <row r="238" spans="1:14" x14ac:dyDescent="0.3">
      <c r="A238" t="s">
        <v>561</v>
      </c>
      <c r="B238" t="s">
        <v>558</v>
      </c>
      <c r="C238" s="13" t="s">
        <v>829</v>
      </c>
      <c r="D238" t="s">
        <v>14</v>
      </c>
      <c r="E238" t="s">
        <v>39</v>
      </c>
      <c r="F238" t="s">
        <v>40</v>
      </c>
      <c r="G238">
        <v>2</v>
      </c>
      <c r="H238" t="s">
        <v>17</v>
      </c>
      <c r="I238">
        <v>0</v>
      </c>
      <c r="J238">
        <v>91772</v>
      </c>
      <c r="K238" t="s">
        <v>30</v>
      </c>
      <c r="L238" t="s">
        <v>25</v>
      </c>
      <c r="M238">
        <v>65</v>
      </c>
      <c r="N238">
        <f>MONTH(QHSE[[#This Row],[Date]])</f>
        <v>6</v>
      </c>
    </row>
    <row r="239" spans="1:14" x14ac:dyDescent="0.3">
      <c r="A239" t="s">
        <v>562</v>
      </c>
      <c r="B239" t="s">
        <v>563</v>
      </c>
      <c r="C239" s="13" t="s">
        <v>829</v>
      </c>
      <c r="D239" t="s">
        <v>22</v>
      </c>
      <c r="E239" t="s">
        <v>60</v>
      </c>
      <c r="F239" t="s">
        <v>16</v>
      </c>
      <c r="G239">
        <v>2</v>
      </c>
      <c r="H239" t="s">
        <v>29</v>
      </c>
      <c r="I239">
        <v>12</v>
      </c>
      <c r="J239">
        <v>235127</v>
      </c>
      <c r="K239" t="s">
        <v>30</v>
      </c>
      <c r="L239" t="s">
        <v>31</v>
      </c>
      <c r="M239">
        <v>86</v>
      </c>
      <c r="N239">
        <f>MONTH(QHSE[[#This Row],[Date]])</f>
        <v>6</v>
      </c>
    </row>
    <row r="240" spans="1:14" x14ac:dyDescent="0.3">
      <c r="A240" t="s">
        <v>564</v>
      </c>
      <c r="B240" t="s">
        <v>563</v>
      </c>
      <c r="C240" s="13" t="s">
        <v>829</v>
      </c>
      <c r="D240" t="s">
        <v>27</v>
      </c>
      <c r="E240" t="s">
        <v>36</v>
      </c>
      <c r="F240" t="s">
        <v>28</v>
      </c>
      <c r="G240">
        <v>2</v>
      </c>
      <c r="H240" t="s">
        <v>96</v>
      </c>
      <c r="I240">
        <v>0</v>
      </c>
      <c r="J240">
        <v>132830</v>
      </c>
      <c r="K240" t="s">
        <v>41</v>
      </c>
      <c r="L240" t="s">
        <v>31</v>
      </c>
      <c r="M240">
        <v>65</v>
      </c>
      <c r="N240">
        <f>MONTH(QHSE[[#This Row],[Date]])</f>
        <v>6</v>
      </c>
    </row>
    <row r="241" spans="1:14" x14ac:dyDescent="0.3">
      <c r="A241" t="s">
        <v>565</v>
      </c>
      <c r="B241" t="s">
        <v>566</v>
      </c>
      <c r="C241" s="13" t="s">
        <v>829</v>
      </c>
      <c r="D241" t="s">
        <v>22</v>
      </c>
      <c r="E241" t="s">
        <v>36</v>
      </c>
      <c r="F241" t="s">
        <v>40</v>
      </c>
      <c r="G241">
        <v>2</v>
      </c>
      <c r="H241" t="s">
        <v>17</v>
      </c>
      <c r="I241">
        <v>0</v>
      </c>
      <c r="J241">
        <v>129086</v>
      </c>
      <c r="K241" t="s">
        <v>41</v>
      </c>
      <c r="L241" t="s">
        <v>23</v>
      </c>
      <c r="M241">
        <v>65</v>
      </c>
      <c r="N241">
        <f>MONTH(QHSE[[#This Row],[Date]])</f>
        <v>6</v>
      </c>
    </row>
    <row r="242" spans="1:14" x14ac:dyDescent="0.3">
      <c r="A242" t="s">
        <v>567</v>
      </c>
      <c r="B242" t="s">
        <v>566</v>
      </c>
      <c r="C242" s="13" t="s">
        <v>829</v>
      </c>
      <c r="D242" t="s">
        <v>27</v>
      </c>
      <c r="E242" t="s">
        <v>39</v>
      </c>
      <c r="F242" t="s">
        <v>45</v>
      </c>
      <c r="G242">
        <v>1</v>
      </c>
      <c r="H242" t="s">
        <v>49</v>
      </c>
      <c r="I242">
        <v>0</v>
      </c>
      <c r="J242">
        <v>22528</v>
      </c>
      <c r="K242" t="s">
        <v>18</v>
      </c>
      <c r="L242" t="s">
        <v>23</v>
      </c>
      <c r="M242">
        <v>85</v>
      </c>
      <c r="N242">
        <f>MONTH(QHSE[[#This Row],[Date]])</f>
        <v>6</v>
      </c>
    </row>
    <row r="243" spans="1:14" x14ac:dyDescent="0.3">
      <c r="A243" t="s">
        <v>568</v>
      </c>
      <c r="B243" t="s">
        <v>566</v>
      </c>
      <c r="C243" s="13" t="s">
        <v>829</v>
      </c>
      <c r="D243" t="s">
        <v>27</v>
      </c>
      <c r="E243" t="s">
        <v>36</v>
      </c>
      <c r="F243" t="s">
        <v>40</v>
      </c>
      <c r="G243">
        <v>1</v>
      </c>
      <c r="H243" t="s">
        <v>17</v>
      </c>
      <c r="I243">
        <v>0</v>
      </c>
      <c r="J243">
        <v>15882</v>
      </c>
      <c r="K243" t="s">
        <v>18</v>
      </c>
      <c r="L243" t="s">
        <v>19</v>
      </c>
      <c r="M243">
        <v>79</v>
      </c>
      <c r="N243">
        <f>MONTH(QHSE[[#This Row],[Date]])</f>
        <v>6</v>
      </c>
    </row>
    <row r="244" spans="1:14" x14ac:dyDescent="0.3">
      <c r="A244" t="s">
        <v>569</v>
      </c>
      <c r="B244" t="s">
        <v>570</v>
      </c>
      <c r="C244" s="13" t="s">
        <v>829</v>
      </c>
      <c r="D244" t="s">
        <v>22</v>
      </c>
      <c r="E244" t="s">
        <v>15</v>
      </c>
      <c r="F244" t="s">
        <v>37</v>
      </c>
      <c r="G244">
        <v>1</v>
      </c>
      <c r="H244" t="s">
        <v>29</v>
      </c>
      <c r="I244">
        <v>0</v>
      </c>
      <c r="J244">
        <v>29514</v>
      </c>
      <c r="K244" t="s">
        <v>18</v>
      </c>
      <c r="L244" t="s">
        <v>31</v>
      </c>
      <c r="M244">
        <v>81</v>
      </c>
      <c r="N244">
        <f>MONTH(QHSE[[#This Row],[Date]])</f>
        <v>6</v>
      </c>
    </row>
    <row r="245" spans="1:14" x14ac:dyDescent="0.3">
      <c r="A245" t="s">
        <v>571</v>
      </c>
      <c r="B245" t="s">
        <v>570</v>
      </c>
      <c r="C245" s="13" t="s">
        <v>829</v>
      </c>
      <c r="D245" t="s">
        <v>22</v>
      </c>
      <c r="E245" t="s">
        <v>25</v>
      </c>
      <c r="F245" t="s">
        <v>40</v>
      </c>
      <c r="G245">
        <v>1</v>
      </c>
      <c r="H245" t="s">
        <v>24</v>
      </c>
      <c r="I245">
        <v>0</v>
      </c>
      <c r="J245">
        <v>15201</v>
      </c>
      <c r="K245" t="s">
        <v>18</v>
      </c>
      <c r="L245" t="s">
        <v>23</v>
      </c>
      <c r="M245">
        <v>86</v>
      </c>
      <c r="N245">
        <f>MONTH(QHSE[[#This Row],[Date]])</f>
        <v>6</v>
      </c>
    </row>
    <row r="246" spans="1:14" x14ac:dyDescent="0.3">
      <c r="A246" t="s">
        <v>572</v>
      </c>
      <c r="B246" t="s">
        <v>573</v>
      </c>
      <c r="C246" s="13" t="s">
        <v>829</v>
      </c>
      <c r="D246" t="s">
        <v>22</v>
      </c>
      <c r="E246" t="s">
        <v>23</v>
      </c>
      <c r="F246" t="s">
        <v>40</v>
      </c>
      <c r="G246">
        <v>1</v>
      </c>
      <c r="H246" t="s">
        <v>96</v>
      </c>
      <c r="I246">
        <v>0</v>
      </c>
      <c r="J246">
        <v>43419</v>
      </c>
      <c r="K246" t="s">
        <v>101</v>
      </c>
      <c r="L246" t="s">
        <v>25</v>
      </c>
      <c r="M246">
        <v>99</v>
      </c>
      <c r="N246">
        <f>MONTH(QHSE[[#This Row],[Date]])</f>
        <v>6</v>
      </c>
    </row>
    <row r="247" spans="1:14" x14ac:dyDescent="0.3">
      <c r="A247" t="s">
        <v>574</v>
      </c>
      <c r="B247" t="s">
        <v>575</v>
      </c>
      <c r="C247" s="13" t="s">
        <v>829</v>
      </c>
      <c r="D247" t="s">
        <v>22</v>
      </c>
      <c r="E247" t="s">
        <v>60</v>
      </c>
      <c r="F247" t="s">
        <v>16</v>
      </c>
      <c r="G247">
        <v>4</v>
      </c>
      <c r="H247" t="s">
        <v>53</v>
      </c>
      <c r="I247">
        <v>11</v>
      </c>
      <c r="J247">
        <v>2481587</v>
      </c>
      <c r="K247" t="s">
        <v>18</v>
      </c>
      <c r="L247" t="s">
        <v>46</v>
      </c>
      <c r="M247">
        <v>80</v>
      </c>
      <c r="N247">
        <f>MONTH(QHSE[[#This Row],[Date]])</f>
        <v>6</v>
      </c>
    </row>
    <row r="248" spans="1:14" x14ac:dyDescent="0.3">
      <c r="A248" t="s">
        <v>576</v>
      </c>
      <c r="B248" t="s">
        <v>575</v>
      </c>
      <c r="C248" s="13" t="s">
        <v>829</v>
      </c>
      <c r="D248" t="s">
        <v>33</v>
      </c>
      <c r="E248" t="s">
        <v>60</v>
      </c>
      <c r="F248" t="s">
        <v>28</v>
      </c>
      <c r="G248">
        <v>3</v>
      </c>
      <c r="H248" t="s">
        <v>29</v>
      </c>
      <c r="I248">
        <v>0</v>
      </c>
      <c r="J248">
        <v>531102</v>
      </c>
      <c r="K248" t="s">
        <v>18</v>
      </c>
      <c r="L248" t="s">
        <v>25</v>
      </c>
      <c r="M248">
        <v>72</v>
      </c>
      <c r="N248">
        <f>MONTH(QHSE[[#This Row],[Date]])</f>
        <v>6</v>
      </c>
    </row>
    <row r="249" spans="1:14" x14ac:dyDescent="0.3">
      <c r="A249" t="s">
        <v>577</v>
      </c>
      <c r="B249" t="s">
        <v>578</v>
      </c>
      <c r="C249" s="13" t="s">
        <v>829</v>
      </c>
      <c r="D249" t="s">
        <v>22</v>
      </c>
      <c r="E249" t="s">
        <v>39</v>
      </c>
      <c r="F249" t="s">
        <v>37</v>
      </c>
      <c r="G249">
        <v>2</v>
      </c>
      <c r="H249" t="s">
        <v>96</v>
      </c>
      <c r="I249">
        <v>0</v>
      </c>
      <c r="J249">
        <v>144801</v>
      </c>
      <c r="K249" t="s">
        <v>30</v>
      </c>
      <c r="L249" t="s">
        <v>46</v>
      </c>
      <c r="M249">
        <v>81</v>
      </c>
      <c r="N249">
        <f>MONTH(QHSE[[#This Row],[Date]])</f>
        <v>6</v>
      </c>
    </row>
    <row r="250" spans="1:14" x14ac:dyDescent="0.3">
      <c r="A250" t="s">
        <v>579</v>
      </c>
      <c r="B250" t="s">
        <v>580</v>
      </c>
      <c r="C250" s="13" t="s">
        <v>829</v>
      </c>
      <c r="D250" t="s">
        <v>58</v>
      </c>
      <c r="E250" t="s">
        <v>60</v>
      </c>
      <c r="F250" t="s">
        <v>72</v>
      </c>
      <c r="G250">
        <v>3</v>
      </c>
      <c r="H250" t="s">
        <v>17</v>
      </c>
      <c r="I250">
        <v>0</v>
      </c>
      <c r="J250">
        <v>583095</v>
      </c>
      <c r="K250" t="s">
        <v>18</v>
      </c>
      <c r="L250" t="s">
        <v>23</v>
      </c>
      <c r="M250">
        <v>81</v>
      </c>
      <c r="N250">
        <f>MONTH(QHSE[[#This Row],[Date]])</f>
        <v>6</v>
      </c>
    </row>
    <row r="251" spans="1:14" x14ac:dyDescent="0.3">
      <c r="A251" t="s">
        <v>581</v>
      </c>
      <c r="B251" t="s">
        <v>580</v>
      </c>
      <c r="C251" s="13" t="s">
        <v>829</v>
      </c>
      <c r="D251" t="s">
        <v>22</v>
      </c>
      <c r="E251" t="s">
        <v>15</v>
      </c>
      <c r="F251" t="s">
        <v>72</v>
      </c>
      <c r="G251">
        <v>2</v>
      </c>
      <c r="H251" t="s">
        <v>24</v>
      </c>
      <c r="I251">
        <v>0</v>
      </c>
      <c r="J251">
        <v>248971</v>
      </c>
      <c r="K251" t="s">
        <v>18</v>
      </c>
      <c r="L251" t="s">
        <v>19</v>
      </c>
      <c r="M251">
        <v>90</v>
      </c>
      <c r="N251">
        <f>MONTH(QHSE[[#This Row],[Date]])</f>
        <v>6</v>
      </c>
    </row>
    <row r="252" spans="1:14" x14ac:dyDescent="0.3">
      <c r="A252" t="s">
        <v>582</v>
      </c>
      <c r="B252" t="s">
        <v>583</v>
      </c>
      <c r="C252" s="13" t="s">
        <v>829</v>
      </c>
      <c r="D252" t="s">
        <v>14</v>
      </c>
      <c r="E252" t="s">
        <v>36</v>
      </c>
      <c r="F252" t="s">
        <v>40</v>
      </c>
      <c r="G252">
        <v>2</v>
      </c>
      <c r="H252" t="s">
        <v>77</v>
      </c>
      <c r="I252">
        <v>0</v>
      </c>
      <c r="J252">
        <v>159076</v>
      </c>
      <c r="K252" t="s">
        <v>18</v>
      </c>
      <c r="L252" t="s">
        <v>25</v>
      </c>
      <c r="M252">
        <v>77</v>
      </c>
      <c r="N252">
        <f>MONTH(QHSE[[#This Row],[Date]])</f>
        <v>6</v>
      </c>
    </row>
    <row r="253" spans="1:14" x14ac:dyDescent="0.3">
      <c r="A253" t="s">
        <v>584</v>
      </c>
      <c r="B253" t="s">
        <v>585</v>
      </c>
      <c r="C253" s="13" t="s">
        <v>829</v>
      </c>
      <c r="D253" t="s">
        <v>14</v>
      </c>
      <c r="E253" t="s">
        <v>15</v>
      </c>
      <c r="F253" t="s">
        <v>40</v>
      </c>
      <c r="G253">
        <v>2</v>
      </c>
      <c r="H253" t="s">
        <v>24</v>
      </c>
      <c r="I253">
        <v>0</v>
      </c>
      <c r="J253">
        <v>67640</v>
      </c>
      <c r="K253" t="s">
        <v>18</v>
      </c>
      <c r="L253" t="s">
        <v>25</v>
      </c>
      <c r="M253">
        <v>81</v>
      </c>
      <c r="N253">
        <f>MONTH(QHSE[[#This Row],[Date]])</f>
        <v>6</v>
      </c>
    </row>
    <row r="254" spans="1:14" x14ac:dyDescent="0.3">
      <c r="A254" t="s">
        <v>586</v>
      </c>
      <c r="B254" t="s">
        <v>587</v>
      </c>
      <c r="C254" s="13" t="s">
        <v>829</v>
      </c>
      <c r="D254" t="s">
        <v>27</v>
      </c>
      <c r="E254" t="s">
        <v>39</v>
      </c>
      <c r="F254" t="s">
        <v>16</v>
      </c>
      <c r="G254">
        <v>4</v>
      </c>
      <c r="H254" t="s">
        <v>77</v>
      </c>
      <c r="I254">
        <v>10</v>
      </c>
      <c r="J254">
        <v>3427509</v>
      </c>
      <c r="K254" t="s">
        <v>30</v>
      </c>
      <c r="L254" t="s">
        <v>25</v>
      </c>
      <c r="M254">
        <v>81</v>
      </c>
      <c r="N254">
        <f>MONTH(QHSE[[#This Row],[Date]])</f>
        <v>6</v>
      </c>
    </row>
    <row r="255" spans="1:14" x14ac:dyDescent="0.3">
      <c r="A255" t="s">
        <v>588</v>
      </c>
      <c r="B255" t="s">
        <v>589</v>
      </c>
      <c r="C255" s="13" t="s">
        <v>829</v>
      </c>
      <c r="D255" t="s">
        <v>27</v>
      </c>
      <c r="E255" t="s">
        <v>15</v>
      </c>
      <c r="F255" t="s">
        <v>16</v>
      </c>
      <c r="G255">
        <v>3</v>
      </c>
      <c r="H255" t="s">
        <v>49</v>
      </c>
      <c r="I255">
        <v>3</v>
      </c>
      <c r="J255">
        <v>363688</v>
      </c>
      <c r="K255" t="s">
        <v>18</v>
      </c>
      <c r="L255" t="s">
        <v>46</v>
      </c>
      <c r="M255">
        <v>78</v>
      </c>
      <c r="N255">
        <f>MONTH(QHSE[[#This Row],[Date]])</f>
        <v>6</v>
      </c>
    </row>
    <row r="256" spans="1:14" x14ac:dyDescent="0.3">
      <c r="A256" t="s">
        <v>590</v>
      </c>
      <c r="B256" t="s">
        <v>591</v>
      </c>
      <c r="C256" s="13" t="s">
        <v>829</v>
      </c>
      <c r="D256" t="s">
        <v>27</v>
      </c>
      <c r="E256" t="s">
        <v>36</v>
      </c>
      <c r="F256" t="s">
        <v>72</v>
      </c>
      <c r="G256">
        <v>3</v>
      </c>
      <c r="H256" t="s">
        <v>24</v>
      </c>
      <c r="I256">
        <v>0</v>
      </c>
      <c r="J256">
        <v>273203</v>
      </c>
      <c r="K256" t="s">
        <v>18</v>
      </c>
      <c r="L256" t="s">
        <v>23</v>
      </c>
      <c r="M256">
        <v>70</v>
      </c>
      <c r="N256">
        <f>MONTH(QHSE[[#This Row],[Date]])</f>
        <v>6</v>
      </c>
    </row>
    <row r="257" spans="1:14" x14ac:dyDescent="0.3">
      <c r="A257" t="s">
        <v>592</v>
      </c>
      <c r="B257" t="s">
        <v>591</v>
      </c>
      <c r="C257" s="13" t="s">
        <v>829</v>
      </c>
      <c r="D257" t="s">
        <v>22</v>
      </c>
      <c r="E257" t="s">
        <v>25</v>
      </c>
      <c r="F257" t="s">
        <v>40</v>
      </c>
      <c r="G257">
        <v>2</v>
      </c>
      <c r="H257" t="s">
        <v>96</v>
      </c>
      <c r="I257">
        <v>0</v>
      </c>
      <c r="J257">
        <v>244148</v>
      </c>
      <c r="K257" t="s">
        <v>18</v>
      </c>
      <c r="L257" t="s">
        <v>25</v>
      </c>
      <c r="M257">
        <v>99</v>
      </c>
      <c r="N257">
        <f>MONTH(QHSE[[#This Row],[Date]])</f>
        <v>6</v>
      </c>
    </row>
    <row r="258" spans="1:14" x14ac:dyDescent="0.3">
      <c r="A258" t="s">
        <v>593</v>
      </c>
      <c r="B258" t="s">
        <v>591</v>
      </c>
      <c r="C258" s="13" t="s">
        <v>829</v>
      </c>
      <c r="D258" t="s">
        <v>33</v>
      </c>
      <c r="E258" t="s">
        <v>39</v>
      </c>
      <c r="F258" t="s">
        <v>40</v>
      </c>
      <c r="G258">
        <v>1</v>
      </c>
      <c r="H258" t="s">
        <v>77</v>
      </c>
      <c r="I258">
        <v>0</v>
      </c>
      <c r="J258">
        <v>40941</v>
      </c>
      <c r="K258" t="s">
        <v>18</v>
      </c>
      <c r="L258" t="s">
        <v>25</v>
      </c>
      <c r="M258">
        <v>78</v>
      </c>
      <c r="N258">
        <f>MONTH(QHSE[[#This Row],[Date]])</f>
        <v>6</v>
      </c>
    </row>
    <row r="259" spans="1:14" x14ac:dyDescent="0.3">
      <c r="A259" t="s">
        <v>594</v>
      </c>
      <c r="B259" t="s">
        <v>591</v>
      </c>
      <c r="C259" s="13" t="s">
        <v>829</v>
      </c>
      <c r="D259" t="s">
        <v>58</v>
      </c>
      <c r="E259" t="s">
        <v>25</v>
      </c>
      <c r="F259" t="s">
        <v>40</v>
      </c>
      <c r="G259">
        <v>1</v>
      </c>
      <c r="H259" t="s">
        <v>53</v>
      </c>
      <c r="I259">
        <v>0</v>
      </c>
      <c r="J259">
        <v>49204</v>
      </c>
      <c r="K259" t="s">
        <v>30</v>
      </c>
      <c r="L259" t="s">
        <v>19</v>
      </c>
      <c r="M259">
        <v>72</v>
      </c>
      <c r="N259">
        <f>MONTH(QHSE[[#This Row],[Date]])</f>
        <v>6</v>
      </c>
    </row>
    <row r="260" spans="1:14" x14ac:dyDescent="0.3">
      <c r="A260" t="s">
        <v>595</v>
      </c>
      <c r="B260" t="s">
        <v>596</v>
      </c>
      <c r="C260" s="13" t="s">
        <v>829</v>
      </c>
      <c r="D260" t="s">
        <v>33</v>
      </c>
      <c r="E260" t="s">
        <v>23</v>
      </c>
      <c r="F260" t="s">
        <v>37</v>
      </c>
      <c r="G260">
        <v>2</v>
      </c>
      <c r="H260" t="s">
        <v>96</v>
      </c>
      <c r="I260">
        <v>0</v>
      </c>
      <c r="J260">
        <v>145575</v>
      </c>
      <c r="K260" t="s">
        <v>18</v>
      </c>
      <c r="L260" t="s">
        <v>19</v>
      </c>
      <c r="M260">
        <v>79</v>
      </c>
      <c r="N260">
        <f>MONTH(QHSE[[#This Row],[Date]])</f>
        <v>6</v>
      </c>
    </row>
    <row r="261" spans="1:14" x14ac:dyDescent="0.3">
      <c r="A261" t="s">
        <v>597</v>
      </c>
      <c r="B261" t="s">
        <v>598</v>
      </c>
      <c r="C261" s="13" t="s">
        <v>829</v>
      </c>
      <c r="D261" t="s">
        <v>22</v>
      </c>
      <c r="E261" t="s">
        <v>25</v>
      </c>
      <c r="F261" t="s">
        <v>28</v>
      </c>
      <c r="G261">
        <v>3</v>
      </c>
      <c r="H261" t="s">
        <v>53</v>
      </c>
      <c r="I261">
        <v>0</v>
      </c>
      <c r="J261">
        <v>649193</v>
      </c>
      <c r="K261" t="s">
        <v>18</v>
      </c>
      <c r="L261" t="s">
        <v>23</v>
      </c>
      <c r="M261">
        <v>91</v>
      </c>
      <c r="N261">
        <f>MONTH(QHSE[[#This Row],[Date]])</f>
        <v>6</v>
      </c>
    </row>
    <row r="262" spans="1:14" x14ac:dyDescent="0.3">
      <c r="A262" t="s">
        <v>599</v>
      </c>
      <c r="B262" t="s">
        <v>600</v>
      </c>
      <c r="C262" s="13" t="s">
        <v>829</v>
      </c>
      <c r="D262" t="s">
        <v>14</v>
      </c>
      <c r="E262" t="s">
        <v>23</v>
      </c>
      <c r="F262" t="s">
        <v>37</v>
      </c>
      <c r="G262">
        <v>1</v>
      </c>
      <c r="H262" t="s">
        <v>24</v>
      </c>
      <c r="I262">
        <v>0</v>
      </c>
      <c r="J262">
        <v>16733</v>
      </c>
      <c r="K262" t="s">
        <v>101</v>
      </c>
      <c r="L262" t="s">
        <v>23</v>
      </c>
      <c r="M262">
        <v>77</v>
      </c>
      <c r="N262">
        <f>MONTH(QHSE[[#This Row],[Date]])</f>
        <v>6</v>
      </c>
    </row>
    <row r="263" spans="1:14" x14ac:dyDescent="0.3">
      <c r="A263" t="s">
        <v>601</v>
      </c>
      <c r="B263" t="s">
        <v>600</v>
      </c>
      <c r="C263" s="13" t="s">
        <v>829</v>
      </c>
      <c r="D263" t="s">
        <v>33</v>
      </c>
      <c r="E263" t="s">
        <v>23</v>
      </c>
      <c r="F263" t="s">
        <v>45</v>
      </c>
      <c r="G263">
        <v>2</v>
      </c>
      <c r="H263" t="s">
        <v>53</v>
      </c>
      <c r="I263">
        <v>0</v>
      </c>
      <c r="J263">
        <v>99381</v>
      </c>
      <c r="K263" t="s">
        <v>30</v>
      </c>
      <c r="L263" t="s">
        <v>31</v>
      </c>
      <c r="M263">
        <v>95</v>
      </c>
      <c r="N263">
        <f>MONTH(QHSE[[#This Row],[Date]])</f>
        <v>6</v>
      </c>
    </row>
    <row r="264" spans="1:14" x14ac:dyDescent="0.3">
      <c r="A264" t="s">
        <v>602</v>
      </c>
      <c r="B264" t="s">
        <v>603</v>
      </c>
      <c r="C264" s="13" t="s">
        <v>829</v>
      </c>
      <c r="D264" t="s">
        <v>22</v>
      </c>
      <c r="E264" t="s">
        <v>25</v>
      </c>
      <c r="F264" t="s">
        <v>45</v>
      </c>
      <c r="G264">
        <v>2</v>
      </c>
      <c r="H264" t="s">
        <v>77</v>
      </c>
      <c r="I264">
        <v>0</v>
      </c>
      <c r="J264">
        <v>217709</v>
      </c>
      <c r="K264" t="s">
        <v>18</v>
      </c>
      <c r="L264" t="s">
        <v>19</v>
      </c>
      <c r="M264">
        <v>99</v>
      </c>
      <c r="N264">
        <f>MONTH(QHSE[[#This Row],[Date]])</f>
        <v>6</v>
      </c>
    </row>
    <row r="265" spans="1:14" x14ac:dyDescent="0.3">
      <c r="A265" t="s">
        <v>604</v>
      </c>
      <c r="B265" t="s">
        <v>605</v>
      </c>
      <c r="C265" s="13" t="s">
        <v>829</v>
      </c>
      <c r="D265" t="s">
        <v>22</v>
      </c>
      <c r="E265" t="s">
        <v>39</v>
      </c>
      <c r="F265" t="s">
        <v>28</v>
      </c>
      <c r="G265">
        <v>3</v>
      </c>
      <c r="H265" t="s">
        <v>96</v>
      </c>
      <c r="I265">
        <v>0</v>
      </c>
      <c r="J265">
        <v>517139</v>
      </c>
      <c r="K265" t="s">
        <v>18</v>
      </c>
      <c r="L265" t="s">
        <v>31</v>
      </c>
      <c r="M265">
        <v>70</v>
      </c>
      <c r="N265">
        <f>MONTH(QHSE[[#This Row],[Date]])</f>
        <v>6</v>
      </c>
    </row>
    <row r="266" spans="1:14" x14ac:dyDescent="0.3">
      <c r="A266" t="s">
        <v>606</v>
      </c>
      <c r="B266" t="s">
        <v>607</v>
      </c>
      <c r="C266" s="13" t="s">
        <v>829</v>
      </c>
      <c r="D266" t="s">
        <v>14</v>
      </c>
      <c r="E266" t="s">
        <v>36</v>
      </c>
      <c r="F266" t="s">
        <v>72</v>
      </c>
      <c r="G266">
        <v>3</v>
      </c>
      <c r="H266" t="s">
        <v>17</v>
      </c>
      <c r="I266">
        <v>0</v>
      </c>
      <c r="J266">
        <v>870111</v>
      </c>
      <c r="K266" t="s">
        <v>30</v>
      </c>
      <c r="L266" t="s">
        <v>46</v>
      </c>
      <c r="M266">
        <v>69</v>
      </c>
      <c r="N266">
        <f>MONTH(QHSE[[#This Row],[Date]])</f>
        <v>6</v>
      </c>
    </row>
    <row r="267" spans="1:14" x14ac:dyDescent="0.3">
      <c r="A267" t="s">
        <v>608</v>
      </c>
      <c r="B267" t="s">
        <v>607</v>
      </c>
      <c r="C267" s="13" t="s">
        <v>829</v>
      </c>
      <c r="D267" t="s">
        <v>27</v>
      </c>
      <c r="E267" t="s">
        <v>15</v>
      </c>
      <c r="F267" t="s">
        <v>28</v>
      </c>
      <c r="G267">
        <v>2</v>
      </c>
      <c r="H267" t="s">
        <v>29</v>
      </c>
      <c r="I267">
        <v>0</v>
      </c>
      <c r="J267">
        <v>191802</v>
      </c>
      <c r="K267" t="s">
        <v>30</v>
      </c>
      <c r="L267" t="s">
        <v>31</v>
      </c>
      <c r="M267">
        <v>86</v>
      </c>
      <c r="N267">
        <f>MONTH(QHSE[[#This Row],[Date]])</f>
        <v>6</v>
      </c>
    </row>
    <row r="268" spans="1:14" x14ac:dyDescent="0.3">
      <c r="A268" t="s">
        <v>609</v>
      </c>
      <c r="B268" t="s">
        <v>607</v>
      </c>
      <c r="C268" s="13" t="s">
        <v>829</v>
      </c>
      <c r="D268" t="s">
        <v>58</v>
      </c>
      <c r="E268" t="s">
        <v>15</v>
      </c>
      <c r="F268" t="s">
        <v>16</v>
      </c>
      <c r="G268">
        <v>3</v>
      </c>
      <c r="H268" t="s">
        <v>77</v>
      </c>
      <c r="I268">
        <v>3</v>
      </c>
      <c r="J268">
        <v>382878</v>
      </c>
      <c r="K268" t="s">
        <v>18</v>
      </c>
      <c r="L268" t="s">
        <v>25</v>
      </c>
      <c r="M268">
        <v>87</v>
      </c>
      <c r="N268">
        <f>MONTH(QHSE[[#This Row],[Date]])</f>
        <v>6</v>
      </c>
    </row>
    <row r="269" spans="1:14" x14ac:dyDescent="0.3">
      <c r="A269" t="s">
        <v>610</v>
      </c>
      <c r="B269" t="s">
        <v>607</v>
      </c>
      <c r="C269" s="13" t="s">
        <v>829</v>
      </c>
      <c r="D269" t="s">
        <v>22</v>
      </c>
      <c r="E269" t="s">
        <v>36</v>
      </c>
      <c r="F269" t="s">
        <v>45</v>
      </c>
      <c r="G269">
        <v>2</v>
      </c>
      <c r="H269" t="s">
        <v>77</v>
      </c>
      <c r="I269">
        <v>0</v>
      </c>
      <c r="J269">
        <v>151489</v>
      </c>
      <c r="K269" t="s">
        <v>101</v>
      </c>
      <c r="L269" t="s">
        <v>31</v>
      </c>
      <c r="M269">
        <v>89</v>
      </c>
      <c r="N269">
        <f>MONTH(QHSE[[#This Row],[Date]])</f>
        <v>6</v>
      </c>
    </row>
    <row r="270" spans="1:14" x14ac:dyDescent="0.3">
      <c r="A270" t="s">
        <v>611</v>
      </c>
      <c r="B270" t="s">
        <v>612</v>
      </c>
      <c r="C270" s="13" t="s">
        <v>829</v>
      </c>
      <c r="D270" t="s">
        <v>14</v>
      </c>
      <c r="E270" t="s">
        <v>23</v>
      </c>
      <c r="F270" t="s">
        <v>40</v>
      </c>
      <c r="G270">
        <v>2</v>
      </c>
      <c r="H270" t="s">
        <v>17</v>
      </c>
      <c r="I270">
        <v>0</v>
      </c>
      <c r="J270">
        <v>185477</v>
      </c>
      <c r="K270" t="s">
        <v>18</v>
      </c>
      <c r="L270" t="s">
        <v>23</v>
      </c>
      <c r="M270">
        <v>98</v>
      </c>
      <c r="N270">
        <f>MONTH(QHSE[[#This Row],[Date]])</f>
        <v>6</v>
      </c>
    </row>
    <row r="271" spans="1:14" x14ac:dyDescent="0.3">
      <c r="A271" t="s">
        <v>613</v>
      </c>
      <c r="B271" t="s">
        <v>614</v>
      </c>
      <c r="C271" s="13" t="s">
        <v>829</v>
      </c>
      <c r="D271" t="s">
        <v>22</v>
      </c>
      <c r="E271" t="s">
        <v>23</v>
      </c>
      <c r="F271" t="s">
        <v>40</v>
      </c>
      <c r="G271">
        <v>1</v>
      </c>
      <c r="H271" t="s">
        <v>96</v>
      </c>
      <c r="I271">
        <v>0</v>
      </c>
      <c r="J271">
        <v>19401</v>
      </c>
      <c r="K271" t="s">
        <v>18</v>
      </c>
      <c r="L271" t="s">
        <v>46</v>
      </c>
      <c r="M271">
        <v>90</v>
      </c>
      <c r="N271">
        <f>MONTH(QHSE[[#This Row],[Date]])</f>
        <v>6</v>
      </c>
    </row>
    <row r="272" spans="1:14" x14ac:dyDescent="0.3">
      <c r="A272" t="s">
        <v>615</v>
      </c>
      <c r="B272" t="s">
        <v>616</v>
      </c>
      <c r="C272" s="13" t="s">
        <v>830</v>
      </c>
      <c r="D272" t="s">
        <v>22</v>
      </c>
      <c r="E272" t="s">
        <v>39</v>
      </c>
      <c r="F272" t="s">
        <v>72</v>
      </c>
      <c r="G272">
        <v>3</v>
      </c>
      <c r="H272" t="s">
        <v>96</v>
      </c>
      <c r="I272">
        <v>0</v>
      </c>
      <c r="J272">
        <v>873016</v>
      </c>
      <c r="K272" t="s">
        <v>18</v>
      </c>
      <c r="L272" t="s">
        <v>25</v>
      </c>
      <c r="M272">
        <v>69</v>
      </c>
      <c r="N272">
        <f>MONTH(QHSE[[#This Row],[Date]])</f>
        <v>7</v>
      </c>
    </row>
    <row r="273" spans="1:14" x14ac:dyDescent="0.3">
      <c r="A273" t="s">
        <v>617</v>
      </c>
      <c r="B273" t="s">
        <v>618</v>
      </c>
      <c r="C273" s="13" t="s">
        <v>830</v>
      </c>
      <c r="D273" t="s">
        <v>22</v>
      </c>
      <c r="E273" t="s">
        <v>60</v>
      </c>
      <c r="F273" t="s">
        <v>16</v>
      </c>
      <c r="G273">
        <v>3</v>
      </c>
      <c r="H273" t="s">
        <v>24</v>
      </c>
      <c r="I273">
        <v>1</v>
      </c>
      <c r="J273">
        <v>658620</v>
      </c>
      <c r="K273" t="s">
        <v>18</v>
      </c>
      <c r="L273" t="s">
        <v>31</v>
      </c>
      <c r="M273">
        <v>90</v>
      </c>
      <c r="N273">
        <f>MONTH(QHSE[[#This Row],[Date]])</f>
        <v>7</v>
      </c>
    </row>
    <row r="274" spans="1:14" x14ac:dyDescent="0.3">
      <c r="A274" t="s">
        <v>619</v>
      </c>
      <c r="B274" t="s">
        <v>620</v>
      </c>
      <c r="C274" s="13" t="s">
        <v>830</v>
      </c>
      <c r="D274" t="s">
        <v>58</v>
      </c>
      <c r="E274" t="s">
        <v>25</v>
      </c>
      <c r="F274" t="s">
        <v>37</v>
      </c>
      <c r="G274">
        <v>2</v>
      </c>
      <c r="H274" t="s">
        <v>53</v>
      </c>
      <c r="I274">
        <v>0</v>
      </c>
      <c r="J274">
        <v>83048</v>
      </c>
      <c r="K274" t="s">
        <v>41</v>
      </c>
      <c r="L274" t="s">
        <v>46</v>
      </c>
      <c r="M274">
        <v>84</v>
      </c>
      <c r="N274">
        <f>MONTH(QHSE[[#This Row],[Date]])</f>
        <v>7</v>
      </c>
    </row>
    <row r="275" spans="1:14" x14ac:dyDescent="0.3">
      <c r="A275" t="s">
        <v>621</v>
      </c>
      <c r="B275" t="s">
        <v>620</v>
      </c>
      <c r="C275" s="13" t="s">
        <v>830</v>
      </c>
      <c r="D275" t="s">
        <v>14</v>
      </c>
      <c r="E275" t="s">
        <v>23</v>
      </c>
      <c r="F275" t="s">
        <v>16</v>
      </c>
      <c r="G275">
        <v>3</v>
      </c>
      <c r="H275" t="s">
        <v>24</v>
      </c>
      <c r="I275">
        <v>7</v>
      </c>
      <c r="J275">
        <v>687238</v>
      </c>
      <c r="K275" t="s">
        <v>18</v>
      </c>
      <c r="L275" t="s">
        <v>46</v>
      </c>
      <c r="M275">
        <v>70</v>
      </c>
      <c r="N275">
        <f>MONTH(QHSE[[#This Row],[Date]])</f>
        <v>7</v>
      </c>
    </row>
    <row r="276" spans="1:14" x14ac:dyDescent="0.3">
      <c r="A276" t="s">
        <v>622</v>
      </c>
      <c r="B276" t="s">
        <v>620</v>
      </c>
      <c r="C276" s="13" t="s">
        <v>830</v>
      </c>
      <c r="D276" t="s">
        <v>27</v>
      </c>
      <c r="E276" t="s">
        <v>15</v>
      </c>
      <c r="F276" t="s">
        <v>40</v>
      </c>
      <c r="G276">
        <v>2</v>
      </c>
      <c r="H276" t="s">
        <v>17</v>
      </c>
      <c r="I276">
        <v>0</v>
      </c>
      <c r="J276">
        <v>249942</v>
      </c>
      <c r="K276" t="s">
        <v>18</v>
      </c>
      <c r="L276" t="s">
        <v>25</v>
      </c>
      <c r="M276">
        <v>70</v>
      </c>
      <c r="N276">
        <f>MONTH(QHSE[[#This Row],[Date]])</f>
        <v>7</v>
      </c>
    </row>
    <row r="277" spans="1:14" x14ac:dyDescent="0.3">
      <c r="A277" t="s">
        <v>623</v>
      </c>
      <c r="B277" t="s">
        <v>624</v>
      </c>
      <c r="C277" s="13" t="s">
        <v>830</v>
      </c>
      <c r="D277" t="s">
        <v>27</v>
      </c>
      <c r="E277" t="s">
        <v>39</v>
      </c>
      <c r="F277" t="s">
        <v>40</v>
      </c>
      <c r="G277">
        <v>2</v>
      </c>
      <c r="H277" t="s">
        <v>24</v>
      </c>
      <c r="I277">
        <v>0</v>
      </c>
      <c r="J277">
        <v>80104</v>
      </c>
      <c r="K277" t="s">
        <v>41</v>
      </c>
      <c r="L277" t="s">
        <v>31</v>
      </c>
      <c r="M277">
        <v>82</v>
      </c>
      <c r="N277">
        <f>MONTH(QHSE[[#This Row],[Date]])</f>
        <v>7</v>
      </c>
    </row>
    <row r="278" spans="1:14" x14ac:dyDescent="0.3">
      <c r="A278" t="s">
        <v>625</v>
      </c>
      <c r="B278" t="s">
        <v>626</v>
      </c>
      <c r="C278" s="13" t="s">
        <v>830</v>
      </c>
      <c r="D278" t="s">
        <v>58</v>
      </c>
      <c r="E278" t="s">
        <v>25</v>
      </c>
      <c r="F278" t="s">
        <v>45</v>
      </c>
      <c r="G278">
        <v>2</v>
      </c>
      <c r="H278" t="s">
        <v>17</v>
      </c>
      <c r="I278">
        <v>0</v>
      </c>
      <c r="J278">
        <v>213351</v>
      </c>
      <c r="K278" t="s">
        <v>18</v>
      </c>
      <c r="L278" t="s">
        <v>46</v>
      </c>
      <c r="M278">
        <v>68</v>
      </c>
      <c r="N278">
        <f>MONTH(QHSE[[#This Row],[Date]])</f>
        <v>7</v>
      </c>
    </row>
    <row r="279" spans="1:14" x14ac:dyDescent="0.3">
      <c r="A279" t="s">
        <v>627</v>
      </c>
      <c r="B279" t="s">
        <v>628</v>
      </c>
      <c r="C279" s="13" t="s">
        <v>830</v>
      </c>
      <c r="D279" t="s">
        <v>27</v>
      </c>
      <c r="E279" t="s">
        <v>39</v>
      </c>
      <c r="F279" t="s">
        <v>16</v>
      </c>
      <c r="G279">
        <v>4</v>
      </c>
      <c r="H279" t="s">
        <v>96</v>
      </c>
      <c r="I279">
        <v>5</v>
      </c>
      <c r="J279">
        <v>1829236</v>
      </c>
      <c r="K279" t="s">
        <v>18</v>
      </c>
      <c r="L279" t="s">
        <v>46</v>
      </c>
      <c r="M279">
        <v>81</v>
      </c>
      <c r="N279">
        <f>MONTH(QHSE[[#This Row],[Date]])</f>
        <v>7</v>
      </c>
    </row>
    <row r="280" spans="1:14" x14ac:dyDescent="0.3">
      <c r="A280" t="s">
        <v>629</v>
      </c>
      <c r="B280" t="s">
        <v>628</v>
      </c>
      <c r="C280" s="13" t="s">
        <v>830</v>
      </c>
      <c r="D280" t="s">
        <v>58</v>
      </c>
      <c r="E280" t="s">
        <v>25</v>
      </c>
      <c r="F280" t="s">
        <v>16</v>
      </c>
      <c r="G280">
        <v>4</v>
      </c>
      <c r="H280" t="s">
        <v>53</v>
      </c>
      <c r="I280">
        <v>4</v>
      </c>
      <c r="J280">
        <v>4129553</v>
      </c>
      <c r="K280" t="s">
        <v>18</v>
      </c>
      <c r="L280" t="s">
        <v>19</v>
      </c>
      <c r="M280">
        <v>78</v>
      </c>
      <c r="N280">
        <f>MONTH(QHSE[[#This Row],[Date]])</f>
        <v>7</v>
      </c>
    </row>
    <row r="281" spans="1:14" x14ac:dyDescent="0.3">
      <c r="A281" t="s">
        <v>630</v>
      </c>
      <c r="B281" t="s">
        <v>628</v>
      </c>
      <c r="C281" s="13" t="s">
        <v>830</v>
      </c>
      <c r="D281" t="s">
        <v>27</v>
      </c>
      <c r="E281" t="s">
        <v>25</v>
      </c>
      <c r="F281" t="s">
        <v>40</v>
      </c>
      <c r="G281">
        <v>2</v>
      </c>
      <c r="H281" t="s">
        <v>24</v>
      </c>
      <c r="I281">
        <v>0</v>
      </c>
      <c r="J281">
        <v>196915</v>
      </c>
      <c r="K281" t="s">
        <v>18</v>
      </c>
      <c r="L281" t="s">
        <v>46</v>
      </c>
      <c r="M281">
        <v>78</v>
      </c>
      <c r="N281">
        <f>MONTH(QHSE[[#This Row],[Date]])</f>
        <v>7</v>
      </c>
    </row>
    <row r="282" spans="1:14" x14ac:dyDescent="0.3">
      <c r="A282" t="s">
        <v>631</v>
      </c>
      <c r="B282" t="s">
        <v>628</v>
      </c>
      <c r="C282" s="13" t="s">
        <v>830</v>
      </c>
      <c r="D282" t="s">
        <v>27</v>
      </c>
      <c r="E282" t="s">
        <v>36</v>
      </c>
      <c r="F282" t="s">
        <v>37</v>
      </c>
      <c r="G282">
        <v>2</v>
      </c>
      <c r="H282" t="s">
        <v>77</v>
      </c>
      <c r="I282">
        <v>0</v>
      </c>
      <c r="J282">
        <v>110097</v>
      </c>
      <c r="K282" t="s">
        <v>18</v>
      </c>
      <c r="L282" t="s">
        <v>19</v>
      </c>
      <c r="M282">
        <v>77</v>
      </c>
      <c r="N282">
        <f>MONTH(QHSE[[#This Row],[Date]])</f>
        <v>7</v>
      </c>
    </row>
    <row r="283" spans="1:14" x14ac:dyDescent="0.3">
      <c r="A283" t="s">
        <v>632</v>
      </c>
      <c r="B283" t="s">
        <v>628</v>
      </c>
      <c r="C283" s="13" t="s">
        <v>830</v>
      </c>
      <c r="D283" t="s">
        <v>27</v>
      </c>
      <c r="E283" t="s">
        <v>23</v>
      </c>
      <c r="F283" t="s">
        <v>72</v>
      </c>
      <c r="G283">
        <v>1</v>
      </c>
      <c r="H283" t="s">
        <v>49</v>
      </c>
      <c r="I283">
        <v>0</v>
      </c>
      <c r="J283">
        <v>23032</v>
      </c>
      <c r="K283" t="s">
        <v>30</v>
      </c>
      <c r="L283" t="s">
        <v>31</v>
      </c>
      <c r="M283">
        <v>71</v>
      </c>
      <c r="N283">
        <f>MONTH(QHSE[[#This Row],[Date]])</f>
        <v>7</v>
      </c>
    </row>
    <row r="284" spans="1:14" x14ac:dyDescent="0.3">
      <c r="A284" t="s">
        <v>633</v>
      </c>
      <c r="B284" t="s">
        <v>634</v>
      </c>
      <c r="C284" s="13" t="s">
        <v>830</v>
      </c>
      <c r="D284" t="s">
        <v>22</v>
      </c>
      <c r="E284" t="s">
        <v>39</v>
      </c>
      <c r="F284" t="s">
        <v>40</v>
      </c>
      <c r="G284">
        <v>1</v>
      </c>
      <c r="H284" t="s">
        <v>29</v>
      </c>
      <c r="I284">
        <v>0</v>
      </c>
      <c r="J284">
        <v>41700</v>
      </c>
      <c r="K284" t="s">
        <v>18</v>
      </c>
      <c r="L284" t="s">
        <v>31</v>
      </c>
      <c r="M284">
        <v>79</v>
      </c>
      <c r="N284">
        <f>MONTH(QHSE[[#This Row],[Date]])</f>
        <v>7</v>
      </c>
    </row>
    <row r="285" spans="1:14" x14ac:dyDescent="0.3">
      <c r="A285" t="s">
        <v>635</v>
      </c>
      <c r="B285" t="s">
        <v>636</v>
      </c>
      <c r="C285" s="13" t="s">
        <v>830</v>
      </c>
      <c r="D285" t="s">
        <v>14</v>
      </c>
      <c r="E285" t="s">
        <v>39</v>
      </c>
      <c r="F285" t="s">
        <v>72</v>
      </c>
      <c r="G285">
        <v>1</v>
      </c>
      <c r="H285" t="s">
        <v>77</v>
      </c>
      <c r="I285">
        <v>0</v>
      </c>
      <c r="J285">
        <v>28457</v>
      </c>
      <c r="K285" t="s">
        <v>18</v>
      </c>
      <c r="L285" t="s">
        <v>31</v>
      </c>
      <c r="M285">
        <v>83</v>
      </c>
      <c r="N285">
        <f>MONTH(QHSE[[#This Row],[Date]])</f>
        <v>7</v>
      </c>
    </row>
    <row r="286" spans="1:14" x14ac:dyDescent="0.3">
      <c r="A286" t="s">
        <v>637</v>
      </c>
      <c r="B286" t="s">
        <v>636</v>
      </c>
      <c r="C286" s="13" t="s">
        <v>830</v>
      </c>
      <c r="D286" t="s">
        <v>27</v>
      </c>
      <c r="E286" t="s">
        <v>36</v>
      </c>
      <c r="F286" t="s">
        <v>16</v>
      </c>
      <c r="G286">
        <v>4</v>
      </c>
      <c r="H286" t="s">
        <v>96</v>
      </c>
      <c r="I286">
        <v>10</v>
      </c>
      <c r="J286">
        <v>3923272</v>
      </c>
      <c r="K286" t="s">
        <v>30</v>
      </c>
      <c r="L286" t="s">
        <v>23</v>
      </c>
      <c r="M286">
        <v>99</v>
      </c>
      <c r="N286">
        <f>MONTH(QHSE[[#This Row],[Date]])</f>
        <v>7</v>
      </c>
    </row>
    <row r="287" spans="1:14" x14ac:dyDescent="0.3">
      <c r="A287" t="s">
        <v>638</v>
      </c>
      <c r="B287" t="s">
        <v>636</v>
      </c>
      <c r="C287" s="13" t="s">
        <v>830</v>
      </c>
      <c r="D287" t="s">
        <v>22</v>
      </c>
      <c r="E287" t="s">
        <v>15</v>
      </c>
      <c r="F287" t="s">
        <v>72</v>
      </c>
      <c r="G287">
        <v>2</v>
      </c>
      <c r="H287" t="s">
        <v>29</v>
      </c>
      <c r="I287">
        <v>0</v>
      </c>
      <c r="J287">
        <v>79596</v>
      </c>
      <c r="K287" t="s">
        <v>30</v>
      </c>
      <c r="L287" t="s">
        <v>31</v>
      </c>
      <c r="M287">
        <v>81</v>
      </c>
      <c r="N287">
        <f>MONTH(QHSE[[#This Row],[Date]])</f>
        <v>7</v>
      </c>
    </row>
    <row r="288" spans="1:14" x14ac:dyDescent="0.3">
      <c r="A288" t="s">
        <v>639</v>
      </c>
      <c r="B288" t="s">
        <v>640</v>
      </c>
      <c r="C288" s="13" t="s">
        <v>830</v>
      </c>
      <c r="D288" t="s">
        <v>58</v>
      </c>
      <c r="E288" t="s">
        <v>15</v>
      </c>
      <c r="F288" t="s">
        <v>40</v>
      </c>
      <c r="G288">
        <v>1</v>
      </c>
      <c r="H288" t="s">
        <v>49</v>
      </c>
      <c r="I288">
        <v>0</v>
      </c>
      <c r="J288">
        <v>44102</v>
      </c>
      <c r="K288" t="s">
        <v>18</v>
      </c>
      <c r="L288" t="s">
        <v>46</v>
      </c>
      <c r="M288">
        <v>99</v>
      </c>
      <c r="N288">
        <f>MONTH(QHSE[[#This Row],[Date]])</f>
        <v>7</v>
      </c>
    </row>
    <row r="289" spans="1:14" x14ac:dyDescent="0.3">
      <c r="A289" t="s">
        <v>641</v>
      </c>
      <c r="B289" t="s">
        <v>640</v>
      </c>
      <c r="C289" s="13" t="s">
        <v>830</v>
      </c>
      <c r="D289" t="s">
        <v>27</v>
      </c>
      <c r="E289" t="s">
        <v>23</v>
      </c>
      <c r="F289" t="s">
        <v>40</v>
      </c>
      <c r="G289">
        <v>2</v>
      </c>
      <c r="H289" t="s">
        <v>49</v>
      </c>
      <c r="I289">
        <v>0</v>
      </c>
      <c r="J289">
        <v>192176</v>
      </c>
      <c r="K289" t="s">
        <v>18</v>
      </c>
      <c r="L289" t="s">
        <v>25</v>
      </c>
      <c r="M289">
        <v>83</v>
      </c>
      <c r="N289">
        <f>MONTH(QHSE[[#This Row],[Date]])</f>
        <v>7</v>
      </c>
    </row>
    <row r="290" spans="1:14" x14ac:dyDescent="0.3">
      <c r="A290" t="s">
        <v>642</v>
      </c>
      <c r="B290" t="s">
        <v>640</v>
      </c>
      <c r="C290" s="13" t="s">
        <v>830</v>
      </c>
      <c r="D290" t="s">
        <v>27</v>
      </c>
      <c r="E290" t="s">
        <v>23</v>
      </c>
      <c r="F290" t="s">
        <v>16</v>
      </c>
      <c r="G290">
        <v>4</v>
      </c>
      <c r="H290" t="s">
        <v>53</v>
      </c>
      <c r="I290">
        <v>4</v>
      </c>
      <c r="J290">
        <v>4627771</v>
      </c>
      <c r="K290" t="s">
        <v>18</v>
      </c>
      <c r="L290" t="s">
        <v>19</v>
      </c>
      <c r="M290">
        <v>84</v>
      </c>
      <c r="N290">
        <f>MONTH(QHSE[[#This Row],[Date]])</f>
        <v>7</v>
      </c>
    </row>
    <row r="291" spans="1:14" x14ac:dyDescent="0.3">
      <c r="A291" t="s">
        <v>643</v>
      </c>
      <c r="B291" t="s">
        <v>644</v>
      </c>
      <c r="C291" s="13" t="s">
        <v>830</v>
      </c>
      <c r="D291" t="s">
        <v>58</v>
      </c>
      <c r="E291" t="s">
        <v>60</v>
      </c>
      <c r="F291" t="s">
        <v>16</v>
      </c>
      <c r="G291">
        <v>3</v>
      </c>
      <c r="H291" t="s">
        <v>29</v>
      </c>
      <c r="I291">
        <v>14</v>
      </c>
      <c r="J291">
        <v>349279</v>
      </c>
      <c r="K291" t="s">
        <v>18</v>
      </c>
      <c r="L291" t="s">
        <v>23</v>
      </c>
      <c r="M291">
        <v>99</v>
      </c>
      <c r="N291">
        <f>MONTH(QHSE[[#This Row],[Date]])</f>
        <v>7</v>
      </c>
    </row>
    <row r="292" spans="1:14" x14ac:dyDescent="0.3">
      <c r="A292" t="s">
        <v>645</v>
      </c>
      <c r="B292" t="s">
        <v>646</v>
      </c>
      <c r="C292" s="13" t="s">
        <v>830</v>
      </c>
      <c r="D292" t="s">
        <v>14</v>
      </c>
      <c r="E292" t="s">
        <v>36</v>
      </c>
      <c r="F292" t="s">
        <v>40</v>
      </c>
      <c r="G292">
        <v>2</v>
      </c>
      <c r="H292" t="s">
        <v>53</v>
      </c>
      <c r="I292">
        <v>0</v>
      </c>
      <c r="J292">
        <v>168602</v>
      </c>
      <c r="K292" t="s">
        <v>18</v>
      </c>
      <c r="L292" t="s">
        <v>31</v>
      </c>
      <c r="M292">
        <v>96</v>
      </c>
      <c r="N292">
        <f>MONTH(QHSE[[#This Row],[Date]])</f>
        <v>7</v>
      </c>
    </row>
    <row r="293" spans="1:14" x14ac:dyDescent="0.3">
      <c r="A293" t="s">
        <v>647</v>
      </c>
      <c r="B293" t="s">
        <v>646</v>
      </c>
      <c r="C293" s="13" t="s">
        <v>830</v>
      </c>
      <c r="D293" t="s">
        <v>22</v>
      </c>
      <c r="E293" t="s">
        <v>15</v>
      </c>
      <c r="F293" t="s">
        <v>40</v>
      </c>
      <c r="G293">
        <v>2</v>
      </c>
      <c r="H293" t="s">
        <v>77</v>
      </c>
      <c r="I293">
        <v>0</v>
      </c>
      <c r="J293">
        <v>169824</v>
      </c>
      <c r="K293" t="s">
        <v>18</v>
      </c>
      <c r="L293" t="s">
        <v>31</v>
      </c>
      <c r="M293">
        <v>88</v>
      </c>
      <c r="N293">
        <f>MONTH(QHSE[[#This Row],[Date]])</f>
        <v>7</v>
      </c>
    </row>
    <row r="294" spans="1:14" x14ac:dyDescent="0.3">
      <c r="A294" t="s">
        <v>648</v>
      </c>
      <c r="B294" t="s">
        <v>649</v>
      </c>
      <c r="C294" s="13" t="s">
        <v>830</v>
      </c>
      <c r="D294" t="s">
        <v>33</v>
      </c>
      <c r="E294" t="s">
        <v>25</v>
      </c>
      <c r="F294" t="s">
        <v>45</v>
      </c>
      <c r="G294">
        <v>2</v>
      </c>
      <c r="H294" t="s">
        <v>17</v>
      </c>
      <c r="I294">
        <v>0</v>
      </c>
      <c r="J294">
        <v>120692</v>
      </c>
      <c r="K294" t="s">
        <v>41</v>
      </c>
      <c r="L294" t="s">
        <v>25</v>
      </c>
      <c r="M294">
        <v>81</v>
      </c>
      <c r="N294">
        <f>MONTH(QHSE[[#This Row],[Date]])</f>
        <v>7</v>
      </c>
    </row>
    <row r="295" spans="1:14" x14ac:dyDescent="0.3">
      <c r="A295" t="s">
        <v>650</v>
      </c>
      <c r="B295" t="s">
        <v>649</v>
      </c>
      <c r="C295" s="13" t="s">
        <v>830</v>
      </c>
      <c r="D295" t="s">
        <v>14</v>
      </c>
      <c r="E295" t="s">
        <v>39</v>
      </c>
      <c r="F295" t="s">
        <v>16</v>
      </c>
      <c r="G295">
        <v>3</v>
      </c>
      <c r="H295" t="s">
        <v>17</v>
      </c>
      <c r="I295">
        <v>4</v>
      </c>
      <c r="J295">
        <v>593849</v>
      </c>
      <c r="K295" t="s">
        <v>18</v>
      </c>
      <c r="L295" t="s">
        <v>25</v>
      </c>
      <c r="M295">
        <v>71</v>
      </c>
      <c r="N295">
        <f>MONTH(QHSE[[#This Row],[Date]])</f>
        <v>7</v>
      </c>
    </row>
    <row r="296" spans="1:14" x14ac:dyDescent="0.3">
      <c r="A296" t="s">
        <v>651</v>
      </c>
      <c r="B296" t="s">
        <v>652</v>
      </c>
      <c r="C296" s="13" t="s">
        <v>830</v>
      </c>
      <c r="D296" t="s">
        <v>22</v>
      </c>
      <c r="E296" t="s">
        <v>23</v>
      </c>
      <c r="F296" t="s">
        <v>37</v>
      </c>
      <c r="G296">
        <v>1</v>
      </c>
      <c r="H296" t="s">
        <v>17</v>
      </c>
      <c r="I296">
        <v>0</v>
      </c>
      <c r="J296">
        <v>11519</v>
      </c>
      <c r="K296" t="s">
        <v>30</v>
      </c>
      <c r="L296" t="s">
        <v>23</v>
      </c>
      <c r="M296">
        <v>65</v>
      </c>
      <c r="N296">
        <f>MONTH(QHSE[[#This Row],[Date]])</f>
        <v>7</v>
      </c>
    </row>
    <row r="297" spans="1:14" x14ac:dyDescent="0.3">
      <c r="A297" t="s">
        <v>653</v>
      </c>
      <c r="B297" t="s">
        <v>652</v>
      </c>
      <c r="C297" s="13" t="s">
        <v>830</v>
      </c>
      <c r="D297" t="s">
        <v>22</v>
      </c>
      <c r="E297" t="s">
        <v>39</v>
      </c>
      <c r="F297" t="s">
        <v>72</v>
      </c>
      <c r="G297">
        <v>2</v>
      </c>
      <c r="H297" t="s">
        <v>29</v>
      </c>
      <c r="I297">
        <v>0</v>
      </c>
      <c r="J297">
        <v>199172</v>
      </c>
      <c r="K297" t="s">
        <v>18</v>
      </c>
      <c r="L297" t="s">
        <v>19</v>
      </c>
      <c r="M297">
        <v>99</v>
      </c>
      <c r="N297">
        <f>MONTH(QHSE[[#This Row],[Date]])</f>
        <v>7</v>
      </c>
    </row>
    <row r="298" spans="1:14" x14ac:dyDescent="0.3">
      <c r="A298" t="s">
        <v>654</v>
      </c>
      <c r="B298" t="s">
        <v>652</v>
      </c>
      <c r="C298" s="13" t="s">
        <v>830</v>
      </c>
      <c r="D298" t="s">
        <v>14</v>
      </c>
      <c r="E298" t="s">
        <v>39</v>
      </c>
      <c r="F298" t="s">
        <v>16</v>
      </c>
      <c r="G298">
        <v>2</v>
      </c>
      <c r="H298" t="s">
        <v>17</v>
      </c>
      <c r="I298">
        <v>6</v>
      </c>
      <c r="J298">
        <v>159864</v>
      </c>
      <c r="K298" t="s">
        <v>30</v>
      </c>
      <c r="L298" t="s">
        <v>31</v>
      </c>
      <c r="M298">
        <v>96</v>
      </c>
      <c r="N298">
        <f>MONTH(QHSE[[#This Row],[Date]])</f>
        <v>7</v>
      </c>
    </row>
    <row r="299" spans="1:14" x14ac:dyDescent="0.3">
      <c r="A299" t="s">
        <v>655</v>
      </c>
      <c r="B299" t="s">
        <v>656</v>
      </c>
      <c r="C299" s="13" t="s">
        <v>830</v>
      </c>
      <c r="D299" t="s">
        <v>14</v>
      </c>
      <c r="E299" t="s">
        <v>60</v>
      </c>
      <c r="F299" t="s">
        <v>28</v>
      </c>
      <c r="G299">
        <v>2</v>
      </c>
      <c r="H299" t="s">
        <v>77</v>
      </c>
      <c r="I299">
        <v>0</v>
      </c>
      <c r="J299">
        <v>61548</v>
      </c>
      <c r="K299" t="s">
        <v>30</v>
      </c>
      <c r="L299" t="s">
        <v>23</v>
      </c>
      <c r="M299">
        <v>77</v>
      </c>
      <c r="N299">
        <f>MONTH(QHSE[[#This Row],[Date]])</f>
        <v>7</v>
      </c>
    </row>
    <row r="300" spans="1:14" x14ac:dyDescent="0.3">
      <c r="A300" t="s">
        <v>657</v>
      </c>
      <c r="B300" t="s">
        <v>656</v>
      </c>
      <c r="C300" s="13" t="s">
        <v>830</v>
      </c>
      <c r="D300" t="s">
        <v>27</v>
      </c>
      <c r="E300" t="s">
        <v>15</v>
      </c>
      <c r="F300" t="s">
        <v>45</v>
      </c>
      <c r="G300">
        <v>2</v>
      </c>
      <c r="H300" t="s">
        <v>53</v>
      </c>
      <c r="I300">
        <v>0</v>
      </c>
      <c r="J300">
        <v>186151</v>
      </c>
      <c r="K300" t="s">
        <v>41</v>
      </c>
      <c r="L300" t="s">
        <v>46</v>
      </c>
      <c r="M300">
        <v>70</v>
      </c>
      <c r="N300">
        <f>MONTH(QHSE[[#This Row],[Date]])</f>
        <v>7</v>
      </c>
    </row>
    <row r="301" spans="1:14" x14ac:dyDescent="0.3">
      <c r="A301" t="s">
        <v>658</v>
      </c>
      <c r="B301" t="s">
        <v>659</v>
      </c>
      <c r="C301" s="13" t="s">
        <v>830</v>
      </c>
      <c r="D301" t="s">
        <v>58</v>
      </c>
      <c r="E301" t="s">
        <v>23</v>
      </c>
      <c r="F301" t="s">
        <v>28</v>
      </c>
      <c r="G301">
        <v>2</v>
      </c>
      <c r="H301" t="s">
        <v>29</v>
      </c>
      <c r="I301">
        <v>0</v>
      </c>
      <c r="J301">
        <v>143356</v>
      </c>
      <c r="K301" t="s">
        <v>18</v>
      </c>
      <c r="L301" t="s">
        <v>46</v>
      </c>
      <c r="M301">
        <v>78</v>
      </c>
      <c r="N301">
        <f>MONTH(QHSE[[#This Row],[Date]])</f>
        <v>7</v>
      </c>
    </row>
    <row r="302" spans="1:14" x14ac:dyDescent="0.3">
      <c r="A302" t="s">
        <v>660</v>
      </c>
      <c r="B302" t="s">
        <v>661</v>
      </c>
      <c r="C302" s="13" t="s">
        <v>830</v>
      </c>
      <c r="D302" t="s">
        <v>14</v>
      </c>
      <c r="E302" t="s">
        <v>39</v>
      </c>
      <c r="F302" t="s">
        <v>40</v>
      </c>
      <c r="G302">
        <v>2</v>
      </c>
      <c r="H302" t="s">
        <v>53</v>
      </c>
      <c r="I302">
        <v>0</v>
      </c>
      <c r="J302">
        <v>56892</v>
      </c>
      <c r="K302" t="s">
        <v>18</v>
      </c>
      <c r="L302" t="s">
        <v>23</v>
      </c>
      <c r="M302">
        <v>79</v>
      </c>
      <c r="N302">
        <f>MONTH(QHSE[[#This Row],[Date]])</f>
        <v>7</v>
      </c>
    </row>
    <row r="303" spans="1:14" x14ac:dyDescent="0.3">
      <c r="A303" t="s">
        <v>662</v>
      </c>
      <c r="B303" t="s">
        <v>661</v>
      </c>
      <c r="C303" s="13" t="s">
        <v>830</v>
      </c>
      <c r="D303" t="s">
        <v>22</v>
      </c>
      <c r="E303" t="s">
        <v>23</v>
      </c>
      <c r="F303" t="s">
        <v>40</v>
      </c>
      <c r="G303">
        <v>1</v>
      </c>
      <c r="H303" t="s">
        <v>29</v>
      </c>
      <c r="I303">
        <v>0</v>
      </c>
      <c r="J303">
        <v>48784</v>
      </c>
      <c r="K303" t="s">
        <v>18</v>
      </c>
      <c r="L303" t="s">
        <v>31</v>
      </c>
      <c r="M303">
        <v>68</v>
      </c>
      <c r="N303">
        <f>MONTH(QHSE[[#This Row],[Date]])</f>
        <v>7</v>
      </c>
    </row>
    <row r="304" spans="1:14" x14ac:dyDescent="0.3">
      <c r="A304" t="s">
        <v>663</v>
      </c>
      <c r="B304" t="s">
        <v>664</v>
      </c>
      <c r="C304" s="13" t="s">
        <v>830</v>
      </c>
      <c r="D304" t="s">
        <v>22</v>
      </c>
      <c r="E304" t="s">
        <v>25</v>
      </c>
      <c r="F304" t="s">
        <v>72</v>
      </c>
      <c r="G304">
        <v>2</v>
      </c>
      <c r="H304" t="s">
        <v>53</v>
      </c>
      <c r="I304">
        <v>0</v>
      </c>
      <c r="J304">
        <v>239822</v>
      </c>
      <c r="K304" t="s">
        <v>30</v>
      </c>
      <c r="L304" t="s">
        <v>23</v>
      </c>
      <c r="M304">
        <v>80</v>
      </c>
      <c r="N304">
        <f>MONTH(QHSE[[#This Row],[Date]])</f>
        <v>7</v>
      </c>
    </row>
    <row r="305" spans="1:14" x14ac:dyDescent="0.3">
      <c r="A305" t="s">
        <v>665</v>
      </c>
      <c r="B305" t="s">
        <v>666</v>
      </c>
      <c r="C305" s="13" t="s">
        <v>830</v>
      </c>
      <c r="D305" t="s">
        <v>22</v>
      </c>
      <c r="E305" t="s">
        <v>60</v>
      </c>
      <c r="F305" t="s">
        <v>16</v>
      </c>
      <c r="G305">
        <v>2</v>
      </c>
      <c r="H305" t="s">
        <v>49</v>
      </c>
      <c r="I305">
        <v>8</v>
      </c>
      <c r="J305">
        <v>152580</v>
      </c>
      <c r="K305" t="s">
        <v>18</v>
      </c>
      <c r="L305" t="s">
        <v>31</v>
      </c>
      <c r="M305">
        <v>92</v>
      </c>
      <c r="N305">
        <f>MONTH(QHSE[[#This Row],[Date]])</f>
        <v>7</v>
      </c>
    </row>
    <row r="306" spans="1:14" x14ac:dyDescent="0.3">
      <c r="A306" t="s">
        <v>667</v>
      </c>
      <c r="B306" t="s">
        <v>668</v>
      </c>
      <c r="C306" s="13" t="s">
        <v>830</v>
      </c>
      <c r="D306" t="s">
        <v>14</v>
      </c>
      <c r="E306" t="s">
        <v>25</v>
      </c>
      <c r="F306" t="s">
        <v>28</v>
      </c>
      <c r="G306">
        <v>3</v>
      </c>
      <c r="H306" t="s">
        <v>53</v>
      </c>
      <c r="I306">
        <v>0</v>
      </c>
      <c r="J306">
        <v>320254</v>
      </c>
      <c r="K306" t="s">
        <v>18</v>
      </c>
      <c r="L306" t="s">
        <v>25</v>
      </c>
      <c r="M306">
        <v>80</v>
      </c>
      <c r="N306">
        <f>MONTH(QHSE[[#This Row],[Date]])</f>
        <v>7</v>
      </c>
    </row>
    <row r="307" spans="1:14" x14ac:dyDescent="0.3">
      <c r="A307" t="s">
        <v>669</v>
      </c>
      <c r="B307" t="s">
        <v>670</v>
      </c>
      <c r="C307" s="13" t="s">
        <v>830</v>
      </c>
      <c r="D307" t="s">
        <v>22</v>
      </c>
      <c r="E307" t="s">
        <v>23</v>
      </c>
      <c r="F307" t="s">
        <v>72</v>
      </c>
      <c r="G307">
        <v>2</v>
      </c>
      <c r="H307" t="s">
        <v>17</v>
      </c>
      <c r="I307">
        <v>0</v>
      </c>
      <c r="J307">
        <v>200924</v>
      </c>
      <c r="K307" t="s">
        <v>18</v>
      </c>
      <c r="L307" t="s">
        <v>23</v>
      </c>
      <c r="M307">
        <v>68</v>
      </c>
      <c r="N307">
        <f>MONTH(QHSE[[#This Row],[Date]])</f>
        <v>7</v>
      </c>
    </row>
    <row r="308" spans="1:14" x14ac:dyDescent="0.3">
      <c r="A308" t="s">
        <v>671</v>
      </c>
      <c r="B308" t="s">
        <v>672</v>
      </c>
      <c r="C308" s="13" t="s">
        <v>830</v>
      </c>
      <c r="D308" t="s">
        <v>27</v>
      </c>
      <c r="E308" t="s">
        <v>23</v>
      </c>
      <c r="F308" t="s">
        <v>40</v>
      </c>
      <c r="G308">
        <v>2</v>
      </c>
      <c r="H308" t="s">
        <v>49</v>
      </c>
      <c r="I308">
        <v>0</v>
      </c>
      <c r="J308">
        <v>148386</v>
      </c>
      <c r="K308" t="s">
        <v>18</v>
      </c>
      <c r="L308" t="s">
        <v>31</v>
      </c>
      <c r="M308">
        <v>90</v>
      </c>
      <c r="N308">
        <f>MONTH(QHSE[[#This Row],[Date]])</f>
        <v>7</v>
      </c>
    </row>
    <row r="309" spans="1:14" x14ac:dyDescent="0.3">
      <c r="A309" t="s">
        <v>673</v>
      </c>
      <c r="B309" t="s">
        <v>674</v>
      </c>
      <c r="C309" s="13" t="s">
        <v>830</v>
      </c>
      <c r="D309" t="s">
        <v>14</v>
      </c>
      <c r="E309" t="s">
        <v>15</v>
      </c>
      <c r="F309" t="s">
        <v>40</v>
      </c>
      <c r="G309">
        <v>1</v>
      </c>
      <c r="H309" t="s">
        <v>53</v>
      </c>
      <c r="I309">
        <v>0</v>
      </c>
      <c r="J309">
        <v>22097</v>
      </c>
      <c r="K309" t="s">
        <v>18</v>
      </c>
      <c r="L309" t="s">
        <v>23</v>
      </c>
      <c r="M309">
        <v>92</v>
      </c>
      <c r="N309">
        <f>MONTH(QHSE[[#This Row],[Date]])</f>
        <v>7</v>
      </c>
    </row>
    <row r="310" spans="1:14" x14ac:dyDescent="0.3">
      <c r="A310" t="s">
        <v>675</v>
      </c>
      <c r="B310" t="s">
        <v>676</v>
      </c>
      <c r="C310" s="13" t="s">
        <v>830</v>
      </c>
      <c r="D310" t="s">
        <v>58</v>
      </c>
      <c r="E310" t="s">
        <v>39</v>
      </c>
      <c r="F310" t="s">
        <v>37</v>
      </c>
      <c r="G310">
        <v>2</v>
      </c>
      <c r="H310" t="s">
        <v>29</v>
      </c>
      <c r="I310">
        <v>0</v>
      </c>
      <c r="J310">
        <v>148283</v>
      </c>
      <c r="K310" t="s">
        <v>18</v>
      </c>
      <c r="L310" t="s">
        <v>23</v>
      </c>
      <c r="M310">
        <v>96</v>
      </c>
      <c r="N310">
        <f>MONTH(QHSE[[#This Row],[Date]])</f>
        <v>7</v>
      </c>
    </row>
    <row r="311" spans="1:14" x14ac:dyDescent="0.3">
      <c r="A311" t="s">
        <v>677</v>
      </c>
      <c r="B311" t="s">
        <v>676</v>
      </c>
      <c r="C311" s="13" t="s">
        <v>830</v>
      </c>
      <c r="D311" t="s">
        <v>22</v>
      </c>
      <c r="E311" t="s">
        <v>39</v>
      </c>
      <c r="F311" t="s">
        <v>45</v>
      </c>
      <c r="G311">
        <v>1</v>
      </c>
      <c r="H311" t="s">
        <v>29</v>
      </c>
      <c r="I311">
        <v>0</v>
      </c>
      <c r="J311">
        <v>30897</v>
      </c>
      <c r="K311" t="s">
        <v>101</v>
      </c>
      <c r="L311" t="s">
        <v>31</v>
      </c>
      <c r="M311">
        <v>66</v>
      </c>
      <c r="N311">
        <f>MONTH(QHSE[[#This Row],[Date]])</f>
        <v>7</v>
      </c>
    </row>
    <row r="312" spans="1:14" x14ac:dyDescent="0.3">
      <c r="A312" t="s">
        <v>678</v>
      </c>
      <c r="B312" t="s">
        <v>676</v>
      </c>
      <c r="C312" s="13" t="s">
        <v>830</v>
      </c>
      <c r="D312" t="s">
        <v>58</v>
      </c>
      <c r="E312" t="s">
        <v>25</v>
      </c>
      <c r="F312" t="s">
        <v>72</v>
      </c>
      <c r="G312">
        <v>3</v>
      </c>
      <c r="H312" t="s">
        <v>29</v>
      </c>
      <c r="I312">
        <v>0</v>
      </c>
      <c r="J312">
        <v>672033</v>
      </c>
      <c r="K312" t="s">
        <v>30</v>
      </c>
      <c r="L312" t="s">
        <v>31</v>
      </c>
      <c r="M312">
        <v>95</v>
      </c>
      <c r="N312">
        <f>MONTH(QHSE[[#This Row],[Date]])</f>
        <v>7</v>
      </c>
    </row>
    <row r="313" spans="1:14" x14ac:dyDescent="0.3">
      <c r="A313" t="s">
        <v>679</v>
      </c>
      <c r="B313" t="s">
        <v>676</v>
      </c>
      <c r="C313" s="13" t="s">
        <v>830</v>
      </c>
      <c r="D313" t="s">
        <v>22</v>
      </c>
      <c r="E313" t="s">
        <v>60</v>
      </c>
      <c r="F313" t="s">
        <v>72</v>
      </c>
      <c r="G313">
        <v>1</v>
      </c>
      <c r="H313" t="s">
        <v>96</v>
      </c>
      <c r="I313">
        <v>0</v>
      </c>
      <c r="J313">
        <v>27648</v>
      </c>
      <c r="K313" t="s">
        <v>101</v>
      </c>
      <c r="L313" t="s">
        <v>19</v>
      </c>
      <c r="M313">
        <v>67</v>
      </c>
      <c r="N313">
        <f>MONTH(QHSE[[#This Row],[Date]])</f>
        <v>7</v>
      </c>
    </row>
    <row r="314" spans="1:14" x14ac:dyDescent="0.3">
      <c r="A314" t="s">
        <v>680</v>
      </c>
      <c r="B314" t="s">
        <v>676</v>
      </c>
      <c r="C314" s="13" t="s">
        <v>830</v>
      </c>
      <c r="D314" t="s">
        <v>58</v>
      </c>
      <c r="E314" t="s">
        <v>36</v>
      </c>
      <c r="F314" t="s">
        <v>37</v>
      </c>
      <c r="G314">
        <v>2</v>
      </c>
      <c r="H314" t="s">
        <v>77</v>
      </c>
      <c r="I314">
        <v>0</v>
      </c>
      <c r="J314">
        <v>171151</v>
      </c>
      <c r="K314" t="s">
        <v>18</v>
      </c>
      <c r="L314" t="s">
        <v>23</v>
      </c>
      <c r="M314">
        <v>72</v>
      </c>
      <c r="N314">
        <f>MONTH(QHSE[[#This Row],[Date]])</f>
        <v>7</v>
      </c>
    </row>
    <row r="315" spans="1:14" x14ac:dyDescent="0.3">
      <c r="A315" t="s">
        <v>681</v>
      </c>
      <c r="B315" t="s">
        <v>682</v>
      </c>
      <c r="C315" s="13" t="s">
        <v>831</v>
      </c>
      <c r="D315" t="s">
        <v>22</v>
      </c>
      <c r="E315" t="s">
        <v>39</v>
      </c>
      <c r="F315" t="s">
        <v>72</v>
      </c>
      <c r="G315">
        <v>1</v>
      </c>
      <c r="H315" t="s">
        <v>29</v>
      </c>
      <c r="I315">
        <v>0</v>
      </c>
      <c r="J315">
        <v>46749</v>
      </c>
      <c r="K315" t="s">
        <v>41</v>
      </c>
      <c r="L315" t="s">
        <v>46</v>
      </c>
      <c r="M315">
        <v>88</v>
      </c>
      <c r="N315">
        <f>MONTH(QHSE[[#This Row],[Date]])</f>
        <v>8</v>
      </c>
    </row>
    <row r="316" spans="1:14" x14ac:dyDescent="0.3">
      <c r="A316" t="s">
        <v>683</v>
      </c>
      <c r="B316" t="s">
        <v>684</v>
      </c>
      <c r="C316" s="13" t="s">
        <v>831</v>
      </c>
      <c r="D316" t="s">
        <v>27</v>
      </c>
      <c r="E316" t="s">
        <v>15</v>
      </c>
      <c r="F316" t="s">
        <v>40</v>
      </c>
      <c r="G316">
        <v>1</v>
      </c>
      <c r="H316" t="s">
        <v>49</v>
      </c>
      <c r="I316">
        <v>0</v>
      </c>
      <c r="J316">
        <v>24490</v>
      </c>
      <c r="K316" t="s">
        <v>41</v>
      </c>
      <c r="L316" t="s">
        <v>23</v>
      </c>
      <c r="M316">
        <v>79</v>
      </c>
      <c r="N316">
        <f>MONTH(QHSE[[#This Row],[Date]])</f>
        <v>8</v>
      </c>
    </row>
    <row r="317" spans="1:14" x14ac:dyDescent="0.3">
      <c r="A317" t="s">
        <v>685</v>
      </c>
      <c r="B317" t="s">
        <v>686</v>
      </c>
      <c r="C317" s="13" t="s">
        <v>831</v>
      </c>
      <c r="D317" t="s">
        <v>14</v>
      </c>
      <c r="E317" t="s">
        <v>25</v>
      </c>
      <c r="F317" t="s">
        <v>40</v>
      </c>
      <c r="G317">
        <v>1</v>
      </c>
      <c r="H317" t="s">
        <v>29</v>
      </c>
      <c r="I317">
        <v>0</v>
      </c>
      <c r="J317">
        <v>39028</v>
      </c>
      <c r="K317" t="s">
        <v>30</v>
      </c>
      <c r="L317" t="s">
        <v>23</v>
      </c>
      <c r="M317">
        <v>95</v>
      </c>
      <c r="N317">
        <f>MONTH(QHSE[[#This Row],[Date]])</f>
        <v>8</v>
      </c>
    </row>
    <row r="318" spans="1:14" x14ac:dyDescent="0.3">
      <c r="A318" t="s">
        <v>687</v>
      </c>
      <c r="B318" t="s">
        <v>686</v>
      </c>
      <c r="C318" s="13" t="s">
        <v>831</v>
      </c>
      <c r="D318" t="s">
        <v>22</v>
      </c>
      <c r="E318" t="s">
        <v>25</v>
      </c>
      <c r="F318" t="s">
        <v>37</v>
      </c>
      <c r="G318">
        <v>2</v>
      </c>
      <c r="H318" t="s">
        <v>96</v>
      </c>
      <c r="I318">
        <v>0</v>
      </c>
      <c r="J318">
        <v>228890</v>
      </c>
      <c r="K318" t="s">
        <v>30</v>
      </c>
      <c r="L318" t="s">
        <v>31</v>
      </c>
      <c r="M318">
        <v>73</v>
      </c>
      <c r="N318">
        <f>MONTH(QHSE[[#This Row],[Date]])</f>
        <v>8</v>
      </c>
    </row>
    <row r="319" spans="1:14" x14ac:dyDescent="0.3">
      <c r="A319" t="s">
        <v>688</v>
      </c>
      <c r="B319" t="s">
        <v>689</v>
      </c>
      <c r="C319" s="13" t="s">
        <v>831</v>
      </c>
      <c r="D319" t="s">
        <v>22</v>
      </c>
      <c r="E319" t="s">
        <v>36</v>
      </c>
      <c r="F319" t="s">
        <v>45</v>
      </c>
      <c r="G319">
        <v>2</v>
      </c>
      <c r="H319" t="s">
        <v>17</v>
      </c>
      <c r="I319">
        <v>0</v>
      </c>
      <c r="J319">
        <v>141195</v>
      </c>
      <c r="K319" t="s">
        <v>18</v>
      </c>
      <c r="L319" t="s">
        <v>23</v>
      </c>
      <c r="M319">
        <v>66</v>
      </c>
      <c r="N319">
        <f>MONTH(QHSE[[#This Row],[Date]])</f>
        <v>8</v>
      </c>
    </row>
    <row r="320" spans="1:14" x14ac:dyDescent="0.3">
      <c r="A320" t="s">
        <v>690</v>
      </c>
      <c r="B320" t="s">
        <v>689</v>
      </c>
      <c r="C320" s="13" t="s">
        <v>831</v>
      </c>
      <c r="D320" t="s">
        <v>14</v>
      </c>
      <c r="E320" t="s">
        <v>15</v>
      </c>
      <c r="F320" t="s">
        <v>16</v>
      </c>
      <c r="G320">
        <v>2</v>
      </c>
      <c r="H320" t="s">
        <v>49</v>
      </c>
      <c r="I320">
        <v>8</v>
      </c>
      <c r="J320">
        <v>138691</v>
      </c>
      <c r="K320" t="s">
        <v>41</v>
      </c>
      <c r="L320" t="s">
        <v>23</v>
      </c>
      <c r="M320">
        <v>72</v>
      </c>
      <c r="N320">
        <f>MONTH(QHSE[[#This Row],[Date]])</f>
        <v>8</v>
      </c>
    </row>
    <row r="321" spans="1:14" x14ac:dyDescent="0.3">
      <c r="A321" t="s">
        <v>691</v>
      </c>
      <c r="B321" t="s">
        <v>692</v>
      </c>
      <c r="C321" s="13" t="s">
        <v>831</v>
      </c>
      <c r="D321" t="s">
        <v>14</v>
      </c>
      <c r="E321" t="s">
        <v>60</v>
      </c>
      <c r="F321" t="s">
        <v>28</v>
      </c>
      <c r="G321">
        <v>3</v>
      </c>
      <c r="H321" t="s">
        <v>96</v>
      </c>
      <c r="I321">
        <v>0</v>
      </c>
      <c r="J321">
        <v>701587</v>
      </c>
      <c r="K321" t="s">
        <v>18</v>
      </c>
      <c r="L321" t="s">
        <v>46</v>
      </c>
      <c r="M321">
        <v>71</v>
      </c>
      <c r="N321">
        <f>MONTH(QHSE[[#This Row],[Date]])</f>
        <v>8</v>
      </c>
    </row>
    <row r="322" spans="1:14" x14ac:dyDescent="0.3">
      <c r="A322" t="s">
        <v>693</v>
      </c>
      <c r="B322" t="s">
        <v>694</v>
      </c>
      <c r="C322" s="13" t="s">
        <v>831</v>
      </c>
      <c r="D322" t="s">
        <v>14</v>
      </c>
      <c r="E322" t="s">
        <v>15</v>
      </c>
      <c r="F322" t="s">
        <v>16</v>
      </c>
      <c r="G322">
        <v>2</v>
      </c>
      <c r="H322" t="s">
        <v>17</v>
      </c>
      <c r="I322">
        <v>5</v>
      </c>
      <c r="J322">
        <v>168281</v>
      </c>
      <c r="K322" t="s">
        <v>18</v>
      </c>
      <c r="L322" t="s">
        <v>31</v>
      </c>
      <c r="M322">
        <v>80</v>
      </c>
      <c r="N322">
        <f>MONTH(QHSE[[#This Row],[Date]])</f>
        <v>8</v>
      </c>
    </row>
    <row r="323" spans="1:14" x14ac:dyDescent="0.3">
      <c r="A323" t="s">
        <v>695</v>
      </c>
      <c r="B323" t="s">
        <v>694</v>
      </c>
      <c r="C323" s="13" t="s">
        <v>831</v>
      </c>
      <c r="D323" t="s">
        <v>14</v>
      </c>
      <c r="E323" t="s">
        <v>60</v>
      </c>
      <c r="F323" t="s">
        <v>72</v>
      </c>
      <c r="G323">
        <v>3</v>
      </c>
      <c r="H323" t="s">
        <v>24</v>
      </c>
      <c r="I323">
        <v>0</v>
      </c>
      <c r="J323">
        <v>854942</v>
      </c>
      <c r="K323" t="s">
        <v>18</v>
      </c>
      <c r="L323" t="s">
        <v>23</v>
      </c>
      <c r="M323">
        <v>99</v>
      </c>
      <c r="N323">
        <f>MONTH(QHSE[[#This Row],[Date]])</f>
        <v>8</v>
      </c>
    </row>
    <row r="324" spans="1:14" x14ac:dyDescent="0.3">
      <c r="A324" t="s">
        <v>696</v>
      </c>
      <c r="B324" t="s">
        <v>697</v>
      </c>
      <c r="C324" s="13" t="s">
        <v>831</v>
      </c>
      <c r="D324" t="s">
        <v>27</v>
      </c>
      <c r="E324" t="s">
        <v>15</v>
      </c>
      <c r="F324" t="s">
        <v>28</v>
      </c>
      <c r="G324">
        <v>3</v>
      </c>
      <c r="H324" t="s">
        <v>24</v>
      </c>
      <c r="I324">
        <v>0</v>
      </c>
      <c r="J324">
        <v>607362</v>
      </c>
      <c r="K324" t="s">
        <v>101</v>
      </c>
      <c r="L324" t="s">
        <v>25</v>
      </c>
      <c r="M324">
        <v>94</v>
      </c>
      <c r="N324">
        <f>MONTH(QHSE[[#This Row],[Date]])</f>
        <v>8</v>
      </c>
    </row>
    <row r="325" spans="1:14" x14ac:dyDescent="0.3">
      <c r="A325" t="s">
        <v>698</v>
      </c>
      <c r="B325" t="s">
        <v>699</v>
      </c>
      <c r="C325" s="13" t="s">
        <v>831</v>
      </c>
      <c r="D325" t="s">
        <v>22</v>
      </c>
      <c r="E325" t="s">
        <v>15</v>
      </c>
      <c r="F325" t="s">
        <v>37</v>
      </c>
      <c r="G325">
        <v>1</v>
      </c>
      <c r="H325" t="s">
        <v>49</v>
      </c>
      <c r="I325">
        <v>0</v>
      </c>
      <c r="J325">
        <v>49844</v>
      </c>
      <c r="K325" t="s">
        <v>41</v>
      </c>
      <c r="L325" t="s">
        <v>19</v>
      </c>
      <c r="M325">
        <v>74</v>
      </c>
      <c r="N325">
        <f>MONTH(QHSE[[#This Row],[Date]])</f>
        <v>8</v>
      </c>
    </row>
    <row r="326" spans="1:14" x14ac:dyDescent="0.3">
      <c r="A326" t="s">
        <v>700</v>
      </c>
      <c r="B326" t="s">
        <v>701</v>
      </c>
      <c r="C326" s="13" t="s">
        <v>831</v>
      </c>
      <c r="D326" t="s">
        <v>22</v>
      </c>
      <c r="E326" t="s">
        <v>23</v>
      </c>
      <c r="F326" t="s">
        <v>37</v>
      </c>
      <c r="G326">
        <v>2</v>
      </c>
      <c r="H326" t="s">
        <v>53</v>
      </c>
      <c r="I326">
        <v>0</v>
      </c>
      <c r="J326">
        <v>61894</v>
      </c>
      <c r="K326" t="s">
        <v>101</v>
      </c>
      <c r="L326" t="s">
        <v>46</v>
      </c>
      <c r="M326">
        <v>82</v>
      </c>
      <c r="N326">
        <f>MONTH(QHSE[[#This Row],[Date]])</f>
        <v>8</v>
      </c>
    </row>
    <row r="327" spans="1:14" x14ac:dyDescent="0.3">
      <c r="A327" t="s">
        <v>702</v>
      </c>
      <c r="B327" t="s">
        <v>701</v>
      </c>
      <c r="C327" s="13" t="s">
        <v>831</v>
      </c>
      <c r="D327" t="s">
        <v>22</v>
      </c>
      <c r="E327" t="s">
        <v>25</v>
      </c>
      <c r="F327" t="s">
        <v>45</v>
      </c>
      <c r="G327">
        <v>2</v>
      </c>
      <c r="H327" t="s">
        <v>77</v>
      </c>
      <c r="I327">
        <v>0</v>
      </c>
      <c r="J327">
        <v>50633</v>
      </c>
      <c r="K327" t="s">
        <v>30</v>
      </c>
      <c r="L327" t="s">
        <v>23</v>
      </c>
      <c r="M327">
        <v>69</v>
      </c>
      <c r="N327">
        <f>MONTH(QHSE[[#This Row],[Date]])</f>
        <v>8</v>
      </c>
    </row>
    <row r="328" spans="1:14" x14ac:dyDescent="0.3">
      <c r="A328" t="s">
        <v>703</v>
      </c>
      <c r="B328" t="s">
        <v>704</v>
      </c>
      <c r="C328" s="13" t="s">
        <v>831</v>
      </c>
      <c r="D328" t="s">
        <v>58</v>
      </c>
      <c r="E328" t="s">
        <v>15</v>
      </c>
      <c r="F328" t="s">
        <v>28</v>
      </c>
      <c r="G328">
        <v>3</v>
      </c>
      <c r="H328" t="s">
        <v>77</v>
      </c>
      <c r="I328">
        <v>0</v>
      </c>
      <c r="J328">
        <v>730148</v>
      </c>
      <c r="K328" t="s">
        <v>18</v>
      </c>
      <c r="L328" t="s">
        <v>25</v>
      </c>
      <c r="M328">
        <v>93</v>
      </c>
      <c r="N328">
        <f>MONTH(QHSE[[#This Row],[Date]])</f>
        <v>8</v>
      </c>
    </row>
    <row r="329" spans="1:14" x14ac:dyDescent="0.3">
      <c r="A329" t="s">
        <v>705</v>
      </c>
      <c r="B329" t="s">
        <v>706</v>
      </c>
      <c r="C329" s="13" t="s">
        <v>831</v>
      </c>
      <c r="D329" t="s">
        <v>27</v>
      </c>
      <c r="E329" t="s">
        <v>36</v>
      </c>
      <c r="F329" t="s">
        <v>40</v>
      </c>
      <c r="G329">
        <v>2</v>
      </c>
      <c r="H329" t="s">
        <v>96</v>
      </c>
      <c r="I329">
        <v>0</v>
      </c>
      <c r="J329">
        <v>109686</v>
      </c>
      <c r="K329" t="s">
        <v>18</v>
      </c>
      <c r="L329" t="s">
        <v>23</v>
      </c>
      <c r="M329">
        <v>98</v>
      </c>
      <c r="N329">
        <f>MONTH(QHSE[[#This Row],[Date]])</f>
        <v>8</v>
      </c>
    </row>
    <row r="330" spans="1:14" x14ac:dyDescent="0.3">
      <c r="A330" t="s">
        <v>707</v>
      </c>
      <c r="B330" t="s">
        <v>706</v>
      </c>
      <c r="C330" s="13" t="s">
        <v>831</v>
      </c>
      <c r="D330" t="s">
        <v>27</v>
      </c>
      <c r="E330" t="s">
        <v>15</v>
      </c>
      <c r="F330" t="s">
        <v>28</v>
      </c>
      <c r="G330">
        <v>3</v>
      </c>
      <c r="H330" t="s">
        <v>17</v>
      </c>
      <c r="I330">
        <v>0</v>
      </c>
      <c r="J330">
        <v>430286</v>
      </c>
      <c r="K330" t="s">
        <v>18</v>
      </c>
      <c r="L330" t="s">
        <v>23</v>
      </c>
      <c r="M330">
        <v>87</v>
      </c>
      <c r="N330">
        <f>MONTH(QHSE[[#This Row],[Date]])</f>
        <v>8</v>
      </c>
    </row>
    <row r="331" spans="1:14" x14ac:dyDescent="0.3">
      <c r="A331" t="s">
        <v>708</v>
      </c>
      <c r="B331" t="s">
        <v>709</v>
      </c>
      <c r="C331" s="13" t="s">
        <v>831</v>
      </c>
      <c r="D331" t="s">
        <v>27</v>
      </c>
      <c r="E331" t="s">
        <v>39</v>
      </c>
      <c r="F331" t="s">
        <v>72</v>
      </c>
      <c r="G331">
        <v>1</v>
      </c>
      <c r="H331" t="s">
        <v>77</v>
      </c>
      <c r="I331">
        <v>0</v>
      </c>
      <c r="J331">
        <v>22475</v>
      </c>
      <c r="K331" t="s">
        <v>18</v>
      </c>
      <c r="L331" t="s">
        <v>31</v>
      </c>
      <c r="M331">
        <v>69</v>
      </c>
      <c r="N331">
        <f>MONTH(QHSE[[#This Row],[Date]])</f>
        <v>8</v>
      </c>
    </row>
    <row r="332" spans="1:14" x14ac:dyDescent="0.3">
      <c r="A332" t="s">
        <v>710</v>
      </c>
      <c r="B332" t="s">
        <v>711</v>
      </c>
      <c r="C332" s="13" t="s">
        <v>831</v>
      </c>
      <c r="D332" t="s">
        <v>33</v>
      </c>
      <c r="E332" t="s">
        <v>25</v>
      </c>
      <c r="F332" t="s">
        <v>40</v>
      </c>
      <c r="G332">
        <v>1</v>
      </c>
      <c r="H332" t="s">
        <v>17</v>
      </c>
      <c r="I332">
        <v>0</v>
      </c>
      <c r="J332">
        <v>20241</v>
      </c>
      <c r="K332" t="s">
        <v>18</v>
      </c>
      <c r="L332" t="s">
        <v>31</v>
      </c>
      <c r="M332">
        <v>94</v>
      </c>
      <c r="N332">
        <f>MONTH(QHSE[[#This Row],[Date]])</f>
        <v>8</v>
      </c>
    </row>
    <row r="333" spans="1:14" x14ac:dyDescent="0.3">
      <c r="A333" t="s">
        <v>712</v>
      </c>
      <c r="B333" t="s">
        <v>711</v>
      </c>
      <c r="C333" s="13" t="s">
        <v>831</v>
      </c>
      <c r="D333" t="s">
        <v>22</v>
      </c>
      <c r="E333" t="s">
        <v>39</v>
      </c>
      <c r="F333" t="s">
        <v>40</v>
      </c>
      <c r="G333">
        <v>2</v>
      </c>
      <c r="H333" t="s">
        <v>17</v>
      </c>
      <c r="I333">
        <v>0</v>
      </c>
      <c r="J333">
        <v>56158</v>
      </c>
      <c r="K333" t="s">
        <v>18</v>
      </c>
      <c r="L333" t="s">
        <v>31</v>
      </c>
      <c r="M333">
        <v>70</v>
      </c>
      <c r="N333">
        <f>MONTH(QHSE[[#This Row],[Date]])</f>
        <v>8</v>
      </c>
    </row>
    <row r="334" spans="1:14" x14ac:dyDescent="0.3">
      <c r="A334" t="s">
        <v>713</v>
      </c>
      <c r="B334" t="s">
        <v>711</v>
      </c>
      <c r="C334" s="13" t="s">
        <v>831</v>
      </c>
      <c r="D334" t="s">
        <v>27</v>
      </c>
      <c r="E334" t="s">
        <v>25</v>
      </c>
      <c r="F334" t="s">
        <v>40</v>
      </c>
      <c r="G334">
        <v>2</v>
      </c>
      <c r="H334" t="s">
        <v>96</v>
      </c>
      <c r="I334">
        <v>0</v>
      </c>
      <c r="J334">
        <v>244306</v>
      </c>
      <c r="K334" t="s">
        <v>18</v>
      </c>
      <c r="L334" t="s">
        <v>25</v>
      </c>
      <c r="M334">
        <v>68</v>
      </c>
      <c r="N334">
        <f>MONTH(QHSE[[#This Row],[Date]])</f>
        <v>8</v>
      </c>
    </row>
    <row r="335" spans="1:14" x14ac:dyDescent="0.3">
      <c r="A335" t="s">
        <v>714</v>
      </c>
      <c r="B335" t="s">
        <v>715</v>
      </c>
      <c r="C335" s="13" t="s">
        <v>831</v>
      </c>
      <c r="D335" t="s">
        <v>27</v>
      </c>
      <c r="E335" t="s">
        <v>39</v>
      </c>
      <c r="F335" t="s">
        <v>40</v>
      </c>
      <c r="G335">
        <v>2</v>
      </c>
      <c r="H335" t="s">
        <v>96</v>
      </c>
      <c r="I335">
        <v>0</v>
      </c>
      <c r="J335">
        <v>94149</v>
      </c>
      <c r="K335" t="s">
        <v>101</v>
      </c>
      <c r="L335" t="s">
        <v>23</v>
      </c>
      <c r="M335">
        <v>93</v>
      </c>
      <c r="N335">
        <f>MONTH(QHSE[[#This Row],[Date]])</f>
        <v>8</v>
      </c>
    </row>
    <row r="336" spans="1:14" x14ac:dyDescent="0.3">
      <c r="A336" t="s">
        <v>716</v>
      </c>
      <c r="B336" t="s">
        <v>717</v>
      </c>
      <c r="C336" s="13" t="s">
        <v>831</v>
      </c>
      <c r="D336" t="s">
        <v>14</v>
      </c>
      <c r="E336" t="s">
        <v>15</v>
      </c>
      <c r="F336" t="s">
        <v>37</v>
      </c>
      <c r="G336">
        <v>1</v>
      </c>
      <c r="H336" t="s">
        <v>96</v>
      </c>
      <c r="I336">
        <v>0</v>
      </c>
      <c r="J336">
        <v>39361</v>
      </c>
      <c r="K336" t="s">
        <v>18</v>
      </c>
      <c r="L336" t="s">
        <v>19</v>
      </c>
      <c r="M336">
        <v>87</v>
      </c>
      <c r="N336">
        <f>MONTH(QHSE[[#This Row],[Date]])</f>
        <v>8</v>
      </c>
    </row>
    <row r="337" spans="1:14" x14ac:dyDescent="0.3">
      <c r="A337" t="s">
        <v>718</v>
      </c>
      <c r="B337" t="s">
        <v>719</v>
      </c>
      <c r="C337" s="13" t="s">
        <v>831</v>
      </c>
      <c r="D337" t="s">
        <v>22</v>
      </c>
      <c r="E337" t="s">
        <v>15</v>
      </c>
      <c r="F337" t="s">
        <v>28</v>
      </c>
      <c r="G337">
        <v>3</v>
      </c>
      <c r="H337" t="s">
        <v>77</v>
      </c>
      <c r="I337">
        <v>0</v>
      </c>
      <c r="J337">
        <v>821947</v>
      </c>
      <c r="K337" t="s">
        <v>41</v>
      </c>
      <c r="L337" t="s">
        <v>46</v>
      </c>
      <c r="M337">
        <v>70</v>
      </c>
      <c r="N337">
        <f>MONTH(QHSE[[#This Row],[Date]])</f>
        <v>8</v>
      </c>
    </row>
    <row r="338" spans="1:14" x14ac:dyDescent="0.3">
      <c r="A338" t="s">
        <v>720</v>
      </c>
      <c r="B338" t="s">
        <v>721</v>
      </c>
      <c r="C338" s="13" t="s">
        <v>831</v>
      </c>
      <c r="D338" t="s">
        <v>58</v>
      </c>
      <c r="E338" t="s">
        <v>23</v>
      </c>
      <c r="F338" t="s">
        <v>40</v>
      </c>
      <c r="G338">
        <v>1</v>
      </c>
      <c r="H338" t="s">
        <v>24</v>
      </c>
      <c r="I338">
        <v>0</v>
      </c>
      <c r="J338">
        <v>47170</v>
      </c>
      <c r="K338" t="s">
        <v>30</v>
      </c>
      <c r="L338" t="s">
        <v>31</v>
      </c>
      <c r="M338">
        <v>96</v>
      </c>
      <c r="N338">
        <f>MONTH(QHSE[[#This Row],[Date]])</f>
        <v>8</v>
      </c>
    </row>
    <row r="339" spans="1:14" x14ac:dyDescent="0.3">
      <c r="A339" t="s">
        <v>722</v>
      </c>
      <c r="B339" t="s">
        <v>723</v>
      </c>
      <c r="C339" s="13" t="s">
        <v>831</v>
      </c>
      <c r="D339" t="s">
        <v>33</v>
      </c>
      <c r="E339" t="s">
        <v>36</v>
      </c>
      <c r="F339" t="s">
        <v>16</v>
      </c>
      <c r="G339">
        <v>3</v>
      </c>
      <c r="H339" t="s">
        <v>96</v>
      </c>
      <c r="I339">
        <v>6</v>
      </c>
      <c r="J339">
        <v>272912</v>
      </c>
      <c r="K339" t="s">
        <v>18</v>
      </c>
      <c r="L339" t="s">
        <v>31</v>
      </c>
      <c r="M339">
        <v>82</v>
      </c>
      <c r="N339">
        <f>MONTH(QHSE[[#This Row],[Date]])</f>
        <v>8</v>
      </c>
    </row>
    <row r="340" spans="1:14" x14ac:dyDescent="0.3">
      <c r="A340" t="s">
        <v>724</v>
      </c>
      <c r="B340" t="s">
        <v>723</v>
      </c>
      <c r="C340" s="13" t="s">
        <v>831</v>
      </c>
      <c r="D340" t="s">
        <v>27</v>
      </c>
      <c r="E340" t="s">
        <v>39</v>
      </c>
      <c r="F340" t="s">
        <v>45</v>
      </c>
      <c r="G340">
        <v>2</v>
      </c>
      <c r="H340" t="s">
        <v>77</v>
      </c>
      <c r="I340">
        <v>0</v>
      </c>
      <c r="J340">
        <v>224409</v>
      </c>
      <c r="K340" t="s">
        <v>18</v>
      </c>
      <c r="L340" t="s">
        <v>23</v>
      </c>
      <c r="M340">
        <v>79</v>
      </c>
      <c r="N340">
        <f>MONTH(QHSE[[#This Row],[Date]])</f>
        <v>8</v>
      </c>
    </row>
    <row r="341" spans="1:14" x14ac:dyDescent="0.3">
      <c r="A341" t="s">
        <v>725</v>
      </c>
      <c r="B341" t="s">
        <v>726</v>
      </c>
      <c r="C341" s="13" t="s">
        <v>831</v>
      </c>
      <c r="D341" t="s">
        <v>14</v>
      </c>
      <c r="E341" t="s">
        <v>60</v>
      </c>
      <c r="F341" t="s">
        <v>16</v>
      </c>
      <c r="G341">
        <v>2</v>
      </c>
      <c r="H341" t="s">
        <v>96</v>
      </c>
      <c r="I341">
        <v>4</v>
      </c>
      <c r="J341">
        <v>155445</v>
      </c>
      <c r="K341" t="s">
        <v>18</v>
      </c>
      <c r="L341" t="s">
        <v>23</v>
      </c>
      <c r="M341">
        <v>96</v>
      </c>
      <c r="N341">
        <f>MONTH(QHSE[[#This Row],[Date]])</f>
        <v>8</v>
      </c>
    </row>
    <row r="342" spans="1:14" x14ac:dyDescent="0.3">
      <c r="A342" t="s">
        <v>727</v>
      </c>
      <c r="B342" t="s">
        <v>728</v>
      </c>
      <c r="C342" s="13" t="s">
        <v>831</v>
      </c>
      <c r="D342" t="s">
        <v>33</v>
      </c>
      <c r="E342" t="s">
        <v>23</v>
      </c>
      <c r="F342" t="s">
        <v>40</v>
      </c>
      <c r="G342">
        <v>1</v>
      </c>
      <c r="H342" t="s">
        <v>29</v>
      </c>
      <c r="I342">
        <v>0</v>
      </c>
      <c r="J342">
        <v>35301</v>
      </c>
      <c r="K342" t="s">
        <v>18</v>
      </c>
      <c r="L342" t="s">
        <v>25</v>
      </c>
      <c r="M342">
        <v>73</v>
      </c>
      <c r="N342">
        <f>MONTH(QHSE[[#This Row],[Date]])</f>
        <v>8</v>
      </c>
    </row>
    <row r="343" spans="1:14" x14ac:dyDescent="0.3">
      <c r="A343" t="s">
        <v>729</v>
      </c>
      <c r="B343" t="s">
        <v>728</v>
      </c>
      <c r="C343" s="13" t="s">
        <v>831</v>
      </c>
      <c r="D343" t="s">
        <v>14</v>
      </c>
      <c r="E343" t="s">
        <v>39</v>
      </c>
      <c r="F343" t="s">
        <v>45</v>
      </c>
      <c r="G343">
        <v>2</v>
      </c>
      <c r="H343" t="s">
        <v>17</v>
      </c>
      <c r="I343">
        <v>0</v>
      </c>
      <c r="J343">
        <v>178894</v>
      </c>
      <c r="K343" t="s">
        <v>30</v>
      </c>
      <c r="L343" t="s">
        <v>25</v>
      </c>
      <c r="M343">
        <v>74</v>
      </c>
      <c r="N343">
        <f>MONTH(QHSE[[#This Row],[Date]])</f>
        <v>8</v>
      </c>
    </row>
    <row r="344" spans="1:14" x14ac:dyDescent="0.3">
      <c r="A344" t="s">
        <v>730</v>
      </c>
      <c r="B344" t="s">
        <v>728</v>
      </c>
      <c r="C344" s="13" t="s">
        <v>831</v>
      </c>
      <c r="D344" t="s">
        <v>22</v>
      </c>
      <c r="E344" t="s">
        <v>39</v>
      </c>
      <c r="F344" t="s">
        <v>72</v>
      </c>
      <c r="G344">
        <v>2</v>
      </c>
      <c r="H344" t="s">
        <v>96</v>
      </c>
      <c r="I344">
        <v>0</v>
      </c>
      <c r="J344">
        <v>213959</v>
      </c>
      <c r="K344" t="s">
        <v>18</v>
      </c>
      <c r="L344" t="s">
        <v>31</v>
      </c>
      <c r="M344">
        <v>84</v>
      </c>
      <c r="N344">
        <f>MONTH(QHSE[[#This Row],[Date]])</f>
        <v>8</v>
      </c>
    </row>
    <row r="345" spans="1:14" x14ac:dyDescent="0.3">
      <c r="A345" t="s">
        <v>731</v>
      </c>
      <c r="B345" t="s">
        <v>732</v>
      </c>
      <c r="C345" s="13" t="s">
        <v>831</v>
      </c>
      <c r="D345" t="s">
        <v>27</v>
      </c>
      <c r="E345" t="s">
        <v>23</v>
      </c>
      <c r="F345" t="s">
        <v>16</v>
      </c>
      <c r="G345">
        <v>4</v>
      </c>
      <c r="H345" t="s">
        <v>49</v>
      </c>
      <c r="I345">
        <v>12</v>
      </c>
      <c r="J345">
        <v>2333629</v>
      </c>
      <c r="K345" t="s">
        <v>18</v>
      </c>
      <c r="L345" t="s">
        <v>23</v>
      </c>
      <c r="M345">
        <v>70</v>
      </c>
      <c r="N345">
        <f>MONTH(QHSE[[#This Row],[Date]])</f>
        <v>8</v>
      </c>
    </row>
    <row r="346" spans="1:14" x14ac:dyDescent="0.3">
      <c r="A346" t="s">
        <v>733</v>
      </c>
      <c r="B346" t="s">
        <v>732</v>
      </c>
      <c r="C346" s="13" t="s">
        <v>831</v>
      </c>
      <c r="D346" t="s">
        <v>14</v>
      </c>
      <c r="E346" t="s">
        <v>15</v>
      </c>
      <c r="F346" t="s">
        <v>28</v>
      </c>
      <c r="G346">
        <v>2</v>
      </c>
      <c r="H346" t="s">
        <v>17</v>
      </c>
      <c r="I346">
        <v>0</v>
      </c>
      <c r="J346">
        <v>196610</v>
      </c>
      <c r="K346" t="s">
        <v>18</v>
      </c>
      <c r="L346" t="s">
        <v>19</v>
      </c>
      <c r="M346">
        <v>67</v>
      </c>
      <c r="N346">
        <f>MONTH(QHSE[[#This Row],[Date]])</f>
        <v>8</v>
      </c>
    </row>
    <row r="347" spans="1:14" x14ac:dyDescent="0.3">
      <c r="A347" t="s">
        <v>734</v>
      </c>
      <c r="B347" t="s">
        <v>735</v>
      </c>
      <c r="C347" s="13" t="s">
        <v>831</v>
      </c>
      <c r="D347" t="s">
        <v>27</v>
      </c>
      <c r="E347" t="s">
        <v>39</v>
      </c>
      <c r="F347" t="s">
        <v>28</v>
      </c>
      <c r="G347">
        <v>2</v>
      </c>
      <c r="H347" t="s">
        <v>17</v>
      </c>
      <c r="I347">
        <v>0</v>
      </c>
      <c r="J347">
        <v>155715</v>
      </c>
      <c r="K347" t="s">
        <v>101</v>
      </c>
      <c r="L347" t="s">
        <v>46</v>
      </c>
      <c r="M347">
        <v>75</v>
      </c>
      <c r="N347">
        <f>MONTH(QHSE[[#This Row],[Date]])</f>
        <v>8</v>
      </c>
    </row>
    <row r="348" spans="1:14" x14ac:dyDescent="0.3">
      <c r="A348" t="s">
        <v>736</v>
      </c>
      <c r="B348" t="s">
        <v>735</v>
      </c>
      <c r="C348" s="13" t="s">
        <v>831</v>
      </c>
      <c r="D348" t="s">
        <v>14</v>
      </c>
      <c r="E348" t="s">
        <v>15</v>
      </c>
      <c r="F348" t="s">
        <v>16</v>
      </c>
      <c r="G348">
        <v>4</v>
      </c>
      <c r="H348" t="s">
        <v>96</v>
      </c>
      <c r="I348">
        <v>14</v>
      </c>
      <c r="J348">
        <v>4173576</v>
      </c>
      <c r="K348" t="s">
        <v>30</v>
      </c>
      <c r="L348" t="s">
        <v>23</v>
      </c>
      <c r="M348">
        <v>81</v>
      </c>
      <c r="N348">
        <f>MONTH(QHSE[[#This Row],[Date]])</f>
        <v>8</v>
      </c>
    </row>
    <row r="349" spans="1:14" x14ac:dyDescent="0.3">
      <c r="A349" t="s">
        <v>737</v>
      </c>
      <c r="B349" t="s">
        <v>738</v>
      </c>
      <c r="C349" s="13" t="s">
        <v>831</v>
      </c>
      <c r="D349" t="s">
        <v>33</v>
      </c>
      <c r="E349" t="s">
        <v>23</v>
      </c>
      <c r="F349" t="s">
        <v>40</v>
      </c>
      <c r="G349">
        <v>1</v>
      </c>
      <c r="H349" t="s">
        <v>24</v>
      </c>
      <c r="I349">
        <v>0</v>
      </c>
      <c r="J349">
        <v>49621</v>
      </c>
      <c r="K349" t="s">
        <v>30</v>
      </c>
      <c r="L349" t="s">
        <v>23</v>
      </c>
      <c r="M349">
        <v>96</v>
      </c>
      <c r="N349">
        <f>MONTH(QHSE[[#This Row],[Date]])</f>
        <v>8</v>
      </c>
    </row>
    <row r="350" spans="1:14" x14ac:dyDescent="0.3">
      <c r="A350" t="s">
        <v>739</v>
      </c>
      <c r="B350" t="s">
        <v>740</v>
      </c>
      <c r="C350" s="13" t="s">
        <v>831</v>
      </c>
      <c r="D350" t="s">
        <v>33</v>
      </c>
      <c r="E350" t="s">
        <v>15</v>
      </c>
      <c r="F350" t="s">
        <v>28</v>
      </c>
      <c r="G350">
        <v>2</v>
      </c>
      <c r="H350" t="s">
        <v>53</v>
      </c>
      <c r="I350">
        <v>0</v>
      </c>
      <c r="J350">
        <v>90130</v>
      </c>
      <c r="K350" t="s">
        <v>18</v>
      </c>
      <c r="L350" t="s">
        <v>25</v>
      </c>
      <c r="M350">
        <v>68</v>
      </c>
      <c r="N350">
        <f>MONTH(QHSE[[#This Row],[Date]])</f>
        <v>8</v>
      </c>
    </row>
    <row r="351" spans="1:14" x14ac:dyDescent="0.3">
      <c r="A351" t="s">
        <v>741</v>
      </c>
      <c r="B351" t="s">
        <v>742</v>
      </c>
      <c r="C351" s="13" t="s">
        <v>831</v>
      </c>
      <c r="D351" t="s">
        <v>27</v>
      </c>
      <c r="E351" t="s">
        <v>25</v>
      </c>
      <c r="F351" t="s">
        <v>72</v>
      </c>
      <c r="G351">
        <v>2</v>
      </c>
      <c r="H351" t="s">
        <v>24</v>
      </c>
      <c r="I351">
        <v>0</v>
      </c>
      <c r="J351">
        <v>248929</v>
      </c>
      <c r="K351" t="s">
        <v>30</v>
      </c>
      <c r="L351" t="s">
        <v>46</v>
      </c>
      <c r="M351">
        <v>68</v>
      </c>
      <c r="N351">
        <f>MONTH(QHSE[[#This Row],[Date]])</f>
        <v>8</v>
      </c>
    </row>
    <row r="352" spans="1:14" x14ac:dyDescent="0.3">
      <c r="A352" t="s">
        <v>743</v>
      </c>
      <c r="B352" t="s">
        <v>742</v>
      </c>
      <c r="C352" s="13" t="s">
        <v>831</v>
      </c>
      <c r="D352" t="s">
        <v>22</v>
      </c>
      <c r="E352" t="s">
        <v>60</v>
      </c>
      <c r="F352" t="s">
        <v>40</v>
      </c>
      <c r="G352">
        <v>2</v>
      </c>
      <c r="H352" t="s">
        <v>96</v>
      </c>
      <c r="I352">
        <v>0</v>
      </c>
      <c r="J352">
        <v>67962</v>
      </c>
      <c r="K352" t="s">
        <v>30</v>
      </c>
      <c r="L352" t="s">
        <v>31</v>
      </c>
      <c r="M352">
        <v>81</v>
      </c>
      <c r="N352">
        <f>MONTH(QHSE[[#This Row],[Date]])</f>
        <v>8</v>
      </c>
    </row>
    <row r="353" spans="1:14" x14ac:dyDescent="0.3">
      <c r="A353" t="s">
        <v>744</v>
      </c>
      <c r="B353" t="s">
        <v>745</v>
      </c>
      <c r="C353" s="13" t="s">
        <v>832</v>
      </c>
      <c r="D353" t="s">
        <v>33</v>
      </c>
      <c r="E353" t="s">
        <v>39</v>
      </c>
      <c r="F353" t="s">
        <v>40</v>
      </c>
      <c r="G353">
        <v>1</v>
      </c>
      <c r="H353" t="s">
        <v>17</v>
      </c>
      <c r="I353">
        <v>0</v>
      </c>
      <c r="J353">
        <v>10092</v>
      </c>
      <c r="K353" t="s">
        <v>30</v>
      </c>
      <c r="L353" t="s">
        <v>23</v>
      </c>
      <c r="M353">
        <v>83</v>
      </c>
      <c r="N353">
        <f>MONTH(QHSE[[#This Row],[Date]])</f>
        <v>9</v>
      </c>
    </row>
    <row r="354" spans="1:14" x14ac:dyDescent="0.3">
      <c r="A354" t="s">
        <v>746</v>
      </c>
      <c r="B354" t="s">
        <v>747</v>
      </c>
      <c r="C354" s="13" t="s">
        <v>832</v>
      </c>
      <c r="D354" t="s">
        <v>58</v>
      </c>
      <c r="E354" t="s">
        <v>36</v>
      </c>
      <c r="F354" t="s">
        <v>72</v>
      </c>
      <c r="G354">
        <v>2</v>
      </c>
      <c r="H354" t="s">
        <v>49</v>
      </c>
      <c r="I354">
        <v>0</v>
      </c>
      <c r="J354">
        <v>58832</v>
      </c>
      <c r="K354" t="s">
        <v>101</v>
      </c>
      <c r="L354" t="s">
        <v>31</v>
      </c>
      <c r="M354">
        <v>69</v>
      </c>
      <c r="N354">
        <f>MONTH(QHSE[[#This Row],[Date]])</f>
        <v>9</v>
      </c>
    </row>
    <row r="355" spans="1:14" x14ac:dyDescent="0.3">
      <c r="A355" t="s">
        <v>748</v>
      </c>
      <c r="B355" t="s">
        <v>747</v>
      </c>
      <c r="C355" s="13" t="s">
        <v>832</v>
      </c>
      <c r="D355" t="s">
        <v>22</v>
      </c>
      <c r="E355" t="s">
        <v>60</v>
      </c>
      <c r="F355" t="s">
        <v>45</v>
      </c>
      <c r="G355">
        <v>2</v>
      </c>
      <c r="H355" t="s">
        <v>17</v>
      </c>
      <c r="I355">
        <v>0</v>
      </c>
      <c r="J355">
        <v>118356</v>
      </c>
      <c r="K355" t="s">
        <v>18</v>
      </c>
      <c r="L355" t="s">
        <v>23</v>
      </c>
      <c r="M355">
        <v>96</v>
      </c>
      <c r="N355">
        <f>MONTH(QHSE[[#This Row],[Date]])</f>
        <v>9</v>
      </c>
    </row>
    <row r="356" spans="1:14" x14ac:dyDescent="0.3">
      <c r="A356" t="s">
        <v>749</v>
      </c>
      <c r="B356" t="s">
        <v>747</v>
      </c>
      <c r="C356" s="13" t="s">
        <v>832</v>
      </c>
      <c r="D356" t="s">
        <v>33</v>
      </c>
      <c r="E356" t="s">
        <v>15</v>
      </c>
      <c r="F356" t="s">
        <v>72</v>
      </c>
      <c r="G356">
        <v>3</v>
      </c>
      <c r="H356" t="s">
        <v>24</v>
      </c>
      <c r="I356">
        <v>0</v>
      </c>
      <c r="J356">
        <v>724679</v>
      </c>
      <c r="K356" t="s">
        <v>101</v>
      </c>
      <c r="L356" t="s">
        <v>31</v>
      </c>
      <c r="M356">
        <v>86</v>
      </c>
      <c r="N356">
        <f>MONTH(QHSE[[#This Row],[Date]])</f>
        <v>9</v>
      </c>
    </row>
    <row r="357" spans="1:14" x14ac:dyDescent="0.3">
      <c r="A357" t="s">
        <v>750</v>
      </c>
      <c r="B357" t="s">
        <v>751</v>
      </c>
      <c r="C357" s="13" t="s">
        <v>832</v>
      </c>
      <c r="D357" t="s">
        <v>58</v>
      </c>
      <c r="E357" t="s">
        <v>39</v>
      </c>
      <c r="F357" t="s">
        <v>40</v>
      </c>
      <c r="G357">
        <v>2</v>
      </c>
      <c r="H357" t="s">
        <v>49</v>
      </c>
      <c r="I357">
        <v>0</v>
      </c>
      <c r="J357">
        <v>63805</v>
      </c>
      <c r="K357" t="s">
        <v>41</v>
      </c>
      <c r="L357" t="s">
        <v>46</v>
      </c>
      <c r="M357">
        <v>70</v>
      </c>
      <c r="N357">
        <f>MONTH(QHSE[[#This Row],[Date]])</f>
        <v>9</v>
      </c>
    </row>
    <row r="358" spans="1:14" x14ac:dyDescent="0.3">
      <c r="A358" t="s">
        <v>752</v>
      </c>
      <c r="B358" t="s">
        <v>751</v>
      </c>
      <c r="C358" s="13" t="s">
        <v>832</v>
      </c>
      <c r="D358" t="s">
        <v>27</v>
      </c>
      <c r="E358" t="s">
        <v>15</v>
      </c>
      <c r="F358" t="s">
        <v>45</v>
      </c>
      <c r="G358">
        <v>1</v>
      </c>
      <c r="H358" t="s">
        <v>77</v>
      </c>
      <c r="I358">
        <v>0</v>
      </c>
      <c r="J358">
        <v>10226</v>
      </c>
      <c r="K358" t="s">
        <v>18</v>
      </c>
      <c r="L358" t="s">
        <v>25</v>
      </c>
      <c r="M358">
        <v>99</v>
      </c>
      <c r="N358">
        <f>MONTH(QHSE[[#This Row],[Date]])</f>
        <v>9</v>
      </c>
    </row>
    <row r="359" spans="1:14" x14ac:dyDescent="0.3">
      <c r="A359" t="s">
        <v>753</v>
      </c>
      <c r="B359" t="s">
        <v>751</v>
      </c>
      <c r="C359" s="13" t="s">
        <v>832</v>
      </c>
      <c r="D359" t="s">
        <v>27</v>
      </c>
      <c r="E359" t="s">
        <v>25</v>
      </c>
      <c r="F359" t="s">
        <v>40</v>
      </c>
      <c r="G359">
        <v>1</v>
      </c>
      <c r="H359" t="s">
        <v>29</v>
      </c>
      <c r="I359">
        <v>0</v>
      </c>
      <c r="J359">
        <v>47483</v>
      </c>
      <c r="K359" t="s">
        <v>18</v>
      </c>
      <c r="L359" t="s">
        <v>46</v>
      </c>
      <c r="M359">
        <v>86</v>
      </c>
      <c r="N359">
        <f>MONTH(QHSE[[#This Row],[Date]])</f>
        <v>9</v>
      </c>
    </row>
    <row r="360" spans="1:14" x14ac:dyDescent="0.3">
      <c r="A360" t="s">
        <v>754</v>
      </c>
      <c r="B360" t="s">
        <v>755</v>
      </c>
      <c r="C360" s="13" t="s">
        <v>832</v>
      </c>
      <c r="D360" t="s">
        <v>27</v>
      </c>
      <c r="E360" t="s">
        <v>23</v>
      </c>
      <c r="F360" t="s">
        <v>28</v>
      </c>
      <c r="G360">
        <v>3</v>
      </c>
      <c r="H360" t="s">
        <v>17</v>
      </c>
      <c r="I360">
        <v>0</v>
      </c>
      <c r="J360">
        <v>866444</v>
      </c>
      <c r="K360" t="s">
        <v>101</v>
      </c>
      <c r="L360" t="s">
        <v>19</v>
      </c>
      <c r="M360">
        <v>65</v>
      </c>
      <c r="N360">
        <f>MONTH(QHSE[[#This Row],[Date]])</f>
        <v>9</v>
      </c>
    </row>
    <row r="361" spans="1:14" x14ac:dyDescent="0.3">
      <c r="A361" t="s">
        <v>756</v>
      </c>
      <c r="B361" t="s">
        <v>757</v>
      </c>
      <c r="C361" s="13" t="s">
        <v>832</v>
      </c>
      <c r="D361" t="s">
        <v>22</v>
      </c>
      <c r="E361" t="s">
        <v>39</v>
      </c>
      <c r="F361" t="s">
        <v>40</v>
      </c>
      <c r="G361">
        <v>1</v>
      </c>
      <c r="H361" t="s">
        <v>96</v>
      </c>
      <c r="I361">
        <v>0</v>
      </c>
      <c r="J361">
        <v>42367</v>
      </c>
      <c r="K361" t="s">
        <v>18</v>
      </c>
      <c r="L361" t="s">
        <v>25</v>
      </c>
      <c r="M361">
        <v>84</v>
      </c>
      <c r="N361">
        <f>MONTH(QHSE[[#This Row],[Date]])</f>
        <v>9</v>
      </c>
    </row>
    <row r="362" spans="1:14" x14ac:dyDescent="0.3">
      <c r="A362" t="s">
        <v>758</v>
      </c>
      <c r="B362" t="s">
        <v>757</v>
      </c>
      <c r="C362" s="13" t="s">
        <v>832</v>
      </c>
      <c r="D362" t="s">
        <v>22</v>
      </c>
      <c r="E362" t="s">
        <v>25</v>
      </c>
      <c r="F362" t="s">
        <v>40</v>
      </c>
      <c r="G362">
        <v>1</v>
      </c>
      <c r="H362" t="s">
        <v>77</v>
      </c>
      <c r="I362">
        <v>0</v>
      </c>
      <c r="J362">
        <v>45376</v>
      </c>
      <c r="K362" t="s">
        <v>18</v>
      </c>
      <c r="L362" t="s">
        <v>46</v>
      </c>
      <c r="M362">
        <v>86</v>
      </c>
      <c r="N362">
        <f>MONTH(QHSE[[#This Row],[Date]])</f>
        <v>9</v>
      </c>
    </row>
    <row r="363" spans="1:14" x14ac:dyDescent="0.3">
      <c r="A363" t="s">
        <v>759</v>
      </c>
      <c r="B363" t="s">
        <v>757</v>
      </c>
      <c r="C363" s="13" t="s">
        <v>832</v>
      </c>
      <c r="D363" t="s">
        <v>58</v>
      </c>
      <c r="E363" t="s">
        <v>25</v>
      </c>
      <c r="F363" t="s">
        <v>40</v>
      </c>
      <c r="G363">
        <v>1</v>
      </c>
      <c r="H363" t="s">
        <v>29</v>
      </c>
      <c r="I363">
        <v>0</v>
      </c>
      <c r="J363">
        <v>38001</v>
      </c>
      <c r="K363" t="s">
        <v>101</v>
      </c>
      <c r="L363" t="s">
        <v>19</v>
      </c>
      <c r="M363">
        <v>75</v>
      </c>
      <c r="N363">
        <f>MONTH(QHSE[[#This Row],[Date]])</f>
        <v>9</v>
      </c>
    </row>
    <row r="364" spans="1:14" x14ac:dyDescent="0.3">
      <c r="A364" t="s">
        <v>760</v>
      </c>
      <c r="B364" t="s">
        <v>761</v>
      </c>
      <c r="C364" s="13" t="s">
        <v>832</v>
      </c>
      <c r="D364" t="s">
        <v>22</v>
      </c>
      <c r="E364" t="s">
        <v>39</v>
      </c>
      <c r="F364" t="s">
        <v>28</v>
      </c>
      <c r="G364">
        <v>2</v>
      </c>
      <c r="H364" t="s">
        <v>96</v>
      </c>
      <c r="I364">
        <v>0</v>
      </c>
      <c r="J364">
        <v>70880</v>
      </c>
      <c r="K364" t="s">
        <v>18</v>
      </c>
      <c r="L364" t="s">
        <v>23</v>
      </c>
      <c r="M364">
        <v>77</v>
      </c>
      <c r="N364">
        <f>MONTH(QHSE[[#This Row],[Date]])</f>
        <v>9</v>
      </c>
    </row>
    <row r="365" spans="1:14" x14ac:dyDescent="0.3">
      <c r="A365" t="s">
        <v>762</v>
      </c>
      <c r="B365" t="s">
        <v>763</v>
      </c>
      <c r="C365" s="13" t="s">
        <v>832</v>
      </c>
      <c r="D365" t="s">
        <v>22</v>
      </c>
      <c r="E365" t="s">
        <v>15</v>
      </c>
      <c r="F365" t="s">
        <v>37</v>
      </c>
      <c r="G365">
        <v>1</v>
      </c>
      <c r="H365" t="s">
        <v>53</v>
      </c>
      <c r="I365">
        <v>0</v>
      </c>
      <c r="J365">
        <v>25964</v>
      </c>
      <c r="K365" t="s">
        <v>18</v>
      </c>
      <c r="L365" t="s">
        <v>23</v>
      </c>
      <c r="M365">
        <v>67</v>
      </c>
      <c r="N365">
        <f>MONTH(QHSE[[#This Row],[Date]])</f>
        <v>9</v>
      </c>
    </row>
    <row r="366" spans="1:14" x14ac:dyDescent="0.3">
      <c r="A366" t="s">
        <v>764</v>
      </c>
      <c r="B366" t="s">
        <v>763</v>
      </c>
      <c r="C366" s="13" t="s">
        <v>832</v>
      </c>
      <c r="D366" t="s">
        <v>27</v>
      </c>
      <c r="E366" t="s">
        <v>36</v>
      </c>
      <c r="F366" t="s">
        <v>28</v>
      </c>
      <c r="G366">
        <v>2</v>
      </c>
      <c r="H366" t="s">
        <v>96</v>
      </c>
      <c r="I366">
        <v>0</v>
      </c>
      <c r="J366">
        <v>194629</v>
      </c>
      <c r="K366" t="s">
        <v>18</v>
      </c>
      <c r="L366" t="s">
        <v>31</v>
      </c>
      <c r="M366">
        <v>73</v>
      </c>
      <c r="N366">
        <f>MONTH(QHSE[[#This Row],[Date]])</f>
        <v>9</v>
      </c>
    </row>
    <row r="367" spans="1:14" x14ac:dyDescent="0.3">
      <c r="A367" t="s">
        <v>765</v>
      </c>
      <c r="B367" t="s">
        <v>766</v>
      </c>
      <c r="C367" s="13" t="s">
        <v>832</v>
      </c>
      <c r="D367" t="s">
        <v>27</v>
      </c>
      <c r="E367" t="s">
        <v>25</v>
      </c>
      <c r="F367" t="s">
        <v>45</v>
      </c>
      <c r="G367">
        <v>1</v>
      </c>
      <c r="H367" t="s">
        <v>49</v>
      </c>
      <c r="I367">
        <v>0</v>
      </c>
      <c r="J367">
        <v>21213</v>
      </c>
      <c r="K367" t="s">
        <v>18</v>
      </c>
      <c r="L367" t="s">
        <v>25</v>
      </c>
      <c r="M367">
        <v>76</v>
      </c>
      <c r="N367">
        <f>MONTH(QHSE[[#This Row],[Date]])</f>
        <v>9</v>
      </c>
    </row>
    <row r="368" spans="1:14" x14ac:dyDescent="0.3">
      <c r="A368" t="s">
        <v>767</v>
      </c>
      <c r="B368" t="s">
        <v>766</v>
      </c>
      <c r="C368" s="13" t="s">
        <v>832</v>
      </c>
      <c r="D368" t="s">
        <v>58</v>
      </c>
      <c r="E368" t="s">
        <v>60</v>
      </c>
      <c r="F368" t="s">
        <v>28</v>
      </c>
      <c r="G368">
        <v>2</v>
      </c>
      <c r="H368" t="s">
        <v>49</v>
      </c>
      <c r="I368">
        <v>0</v>
      </c>
      <c r="J368">
        <v>187481</v>
      </c>
      <c r="K368" t="s">
        <v>18</v>
      </c>
      <c r="L368" t="s">
        <v>23</v>
      </c>
      <c r="M368">
        <v>87</v>
      </c>
      <c r="N368">
        <f>MONTH(QHSE[[#This Row],[Date]])</f>
        <v>9</v>
      </c>
    </row>
    <row r="369" spans="1:14" x14ac:dyDescent="0.3">
      <c r="A369" t="s">
        <v>768</v>
      </c>
      <c r="B369" t="s">
        <v>769</v>
      </c>
      <c r="C369" s="13" t="s">
        <v>832</v>
      </c>
      <c r="D369" t="s">
        <v>22</v>
      </c>
      <c r="E369" t="s">
        <v>25</v>
      </c>
      <c r="F369" t="s">
        <v>28</v>
      </c>
      <c r="G369">
        <v>3</v>
      </c>
      <c r="H369" t="s">
        <v>53</v>
      </c>
      <c r="I369">
        <v>0</v>
      </c>
      <c r="J369">
        <v>268373</v>
      </c>
      <c r="K369" t="s">
        <v>18</v>
      </c>
      <c r="L369" t="s">
        <v>25</v>
      </c>
      <c r="M369">
        <v>78</v>
      </c>
      <c r="N369">
        <f>MONTH(QHSE[[#This Row],[Date]])</f>
        <v>9</v>
      </c>
    </row>
    <row r="370" spans="1:14" x14ac:dyDescent="0.3">
      <c r="A370" t="s">
        <v>770</v>
      </c>
      <c r="B370" t="s">
        <v>769</v>
      </c>
      <c r="C370" s="13" t="s">
        <v>832</v>
      </c>
      <c r="D370" t="s">
        <v>22</v>
      </c>
      <c r="E370" t="s">
        <v>36</v>
      </c>
      <c r="F370" t="s">
        <v>40</v>
      </c>
      <c r="G370">
        <v>2</v>
      </c>
      <c r="H370" t="s">
        <v>77</v>
      </c>
      <c r="I370">
        <v>0</v>
      </c>
      <c r="J370">
        <v>111227</v>
      </c>
      <c r="K370" t="s">
        <v>30</v>
      </c>
      <c r="L370" t="s">
        <v>23</v>
      </c>
      <c r="M370">
        <v>97</v>
      </c>
      <c r="N370">
        <f>MONTH(QHSE[[#This Row],[Date]])</f>
        <v>9</v>
      </c>
    </row>
    <row r="371" spans="1:14" x14ac:dyDescent="0.3">
      <c r="A371" t="s">
        <v>771</v>
      </c>
      <c r="B371" t="s">
        <v>769</v>
      </c>
      <c r="C371" s="13" t="s">
        <v>832</v>
      </c>
      <c r="D371" t="s">
        <v>14</v>
      </c>
      <c r="E371" t="s">
        <v>15</v>
      </c>
      <c r="F371" t="s">
        <v>28</v>
      </c>
      <c r="G371">
        <v>3</v>
      </c>
      <c r="H371" t="s">
        <v>29</v>
      </c>
      <c r="I371">
        <v>0</v>
      </c>
      <c r="J371">
        <v>661847</v>
      </c>
      <c r="K371" t="s">
        <v>18</v>
      </c>
      <c r="L371" t="s">
        <v>31</v>
      </c>
      <c r="M371">
        <v>82</v>
      </c>
      <c r="N371">
        <f>MONTH(QHSE[[#This Row],[Date]])</f>
        <v>9</v>
      </c>
    </row>
    <row r="372" spans="1:14" x14ac:dyDescent="0.3">
      <c r="A372" t="s">
        <v>772</v>
      </c>
      <c r="B372" t="s">
        <v>769</v>
      </c>
      <c r="C372" s="13" t="s">
        <v>832</v>
      </c>
      <c r="D372" t="s">
        <v>27</v>
      </c>
      <c r="E372" t="s">
        <v>15</v>
      </c>
      <c r="F372" t="s">
        <v>40</v>
      </c>
      <c r="G372">
        <v>1</v>
      </c>
      <c r="H372" t="s">
        <v>96</v>
      </c>
      <c r="I372">
        <v>0</v>
      </c>
      <c r="J372">
        <v>35283</v>
      </c>
      <c r="K372" t="s">
        <v>30</v>
      </c>
      <c r="L372" t="s">
        <v>46</v>
      </c>
      <c r="M372">
        <v>73</v>
      </c>
      <c r="N372">
        <f>MONTH(QHSE[[#This Row],[Date]])</f>
        <v>9</v>
      </c>
    </row>
    <row r="373" spans="1:14" x14ac:dyDescent="0.3">
      <c r="A373" t="s">
        <v>773</v>
      </c>
      <c r="B373" t="s">
        <v>769</v>
      </c>
      <c r="C373" s="13" t="s">
        <v>832</v>
      </c>
      <c r="D373" t="s">
        <v>22</v>
      </c>
      <c r="E373" t="s">
        <v>60</v>
      </c>
      <c r="F373" t="s">
        <v>40</v>
      </c>
      <c r="G373">
        <v>1</v>
      </c>
      <c r="H373" t="s">
        <v>49</v>
      </c>
      <c r="I373">
        <v>0</v>
      </c>
      <c r="J373">
        <v>33081</v>
      </c>
      <c r="K373" t="s">
        <v>30</v>
      </c>
      <c r="L373" t="s">
        <v>31</v>
      </c>
      <c r="M373">
        <v>87</v>
      </c>
      <c r="N373">
        <f>MONTH(QHSE[[#This Row],[Date]])</f>
        <v>9</v>
      </c>
    </row>
    <row r="374" spans="1:14" x14ac:dyDescent="0.3">
      <c r="A374" t="s">
        <v>774</v>
      </c>
      <c r="B374" t="s">
        <v>775</v>
      </c>
      <c r="C374" s="13" t="s">
        <v>832</v>
      </c>
      <c r="D374" t="s">
        <v>27</v>
      </c>
      <c r="E374" t="s">
        <v>25</v>
      </c>
      <c r="F374" t="s">
        <v>16</v>
      </c>
      <c r="G374">
        <v>2</v>
      </c>
      <c r="H374" t="s">
        <v>77</v>
      </c>
      <c r="I374">
        <v>11</v>
      </c>
      <c r="J374">
        <v>189551</v>
      </c>
      <c r="K374" t="s">
        <v>18</v>
      </c>
      <c r="L374" t="s">
        <v>19</v>
      </c>
      <c r="M374">
        <v>74</v>
      </c>
      <c r="N374">
        <f>MONTH(QHSE[[#This Row],[Date]])</f>
        <v>9</v>
      </c>
    </row>
    <row r="375" spans="1:14" x14ac:dyDescent="0.3">
      <c r="A375" t="s">
        <v>776</v>
      </c>
      <c r="B375" t="s">
        <v>777</v>
      </c>
      <c r="C375" s="13" t="s">
        <v>832</v>
      </c>
      <c r="D375" t="s">
        <v>22</v>
      </c>
      <c r="E375" t="s">
        <v>15</v>
      </c>
      <c r="F375" t="s">
        <v>37</v>
      </c>
      <c r="G375">
        <v>2</v>
      </c>
      <c r="H375" t="s">
        <v>53</v>
      </c>
      <c r="I375">
        <v>0</v>
      </c>
      <c r="J375">
        <v>51217</v>
      </c>
      <c r="K375" t="s">
        <v>30</v>
      </c>
      <c r="L375" t="s">
        <v>23</v>
      </c>
      <c r="M375">
        <v>83</v>
      </c>
      <c r="N375">
        <f>MONTH(QHSE[[#This Row],[Date]])</f>
        <v>9</v>
      </c>
    </row>
    <row r="376" spans="1:14" x14ac:dyDescent="0.3">
      <c r="A376" t="s">
        <v>778</v>
      </c>
      <c r="B376" t="s">
        <v>777</v>
      </c>
      <c r="C376" s="13" t="s">
        <v>832</v>
      </c>
      <c r="D376" t="s">
        <v>22</v>
      </c>
      <c r="E376" t="s">
        <v>36</v>
      </c>
      <c r="F376" t="s">
        <v>40</v>
      </c>
      <c r="G376">
        <v>2</v>
      </c>
      <c r="H376" t="s">
        <v>24</v>
      </c>
      <c r="I376">
        <v>0</v>
      </c>
      <c r="J376">
        <v>70188</v>
      </c>
      <c r="K376" t="s">
        <v>18</v>
      </c>
      <c r="L376" t="s">
        <v>19</v>
      </c>
      <c r="M376">
        <v>69</v>
      </c>
      <c r="N376">
        <f>MONTH(QHSE[[#This Row],[Date]])</f>
        <v>9</v>
      </c>
    </row>
    <row r="377" spans="1:14" x14ac:dyDescent="0.3">
      <c r="A377" t="s">
        <v>779</v>
      </c>
      <c r="B377" t="s">
        <v>777</v>
      </c>
      <c r="C377" s="13" t="s">
        <v>832</v>
      </c>
      <c r="D377" t="s">
        <v>27</v>
      </c>
      <c r="E377" t="s">
        <v>39</v>
      </c>
      <c r="F377" t="s">
        <v>45</v>
      </c>
      <c r="G377">
        <v>1</v>
      </c>
      <c r="H377" t="s">
        <v>17</v>
      </c>
      <c r="I377">
        <v>0</v>
      </c>
      <c r="J377">
        <v>44757</v>
      </c>
      <c r="K377" t="s">
        <v>18</v>
      </c>
      <c r="L377" t="s">
        <v>19</v>
      </c>
      <c r="M377">
        <v>87</v>
      </c>
      <c r="N377">
        <f>MONTH(QHSE[[#This Row],[Date]])</f>
        <v>9</v>
      </c>
    </row>
    <row r="378" spans="1:14" x14ac:dyDescent="0.3">
      <c r="A378" t="s">
        <v>780</v>
      </c>
      <c r="B378" t="s">
        <v>777</v>
      </c>
      <c r="C378" s="13" t="s">
        <v>832</v>
      </c>
      <c r="D378" t="s">
        <v>27</v>
      </c>
      <c r="E378" t="s">
        <v>23</v>
      </c>
      <c r="F378" t="s">
        <v>16</v>
      </c>
      <c r="G378">
        <v>2</v>
      </c>
      <c r="H378" t="s">
        <v>24</v>
      </c>
      <c r="I378">
        <v>13</v>
      </c>
      <c r="J378">
        <v>186349</v>
      </c>
      <c r="K378" t="s">
        <v>18</v>
      </c>
      <c r="L378" t="s">
        <v>25</v>
      </c>
      <c r="M378">
        <v>94</v>
      </c>
      <c r="N378">
        <f>MONTH(QHSE[[#This Row],[Date]])</f>
        <v>9</v>
      </c>
    </row>
    <row r="379" spans="1:14" x14ac:dyDescent="0.3">
      <c r="A379" t="s">
        <v>781</v>
      </c>
      <c r="B379" t="s">
        <v>777</v>
      </c>
      <c r="C379" s="13" t="s">
        <v>832</v>
      </c>
      <c r="D379" t="s">
        <v>58</v>
      </c>
      <c r="E379" t="s">
        <v>23</v>
      </c>
      <c r="F379" t="s">
        <v>40</v>
      </c>
      <c r="G379">
        <v>1</v>
      </c>
      <c r="H379" t="s">
        <v>24</v>
      </c>
      <c r="I379">
        <v>0</v>
      </c>
      <c r="J379">
        <v>14517</v>
      </c>
      <c r="K379" t="s">
        <v>101</v>
      </c>
      <c r="L379" t="s">
        <v>23</v>
      </c>
      <c r="M379">
        <v>89</v>
      </c>
      <c r="N379">
        <f>MONTH(QHSE[[#This Row],[Date]])</f>
        <v>9</v>
      </c>
    </row>
    <row r="380" spans="1:14" x14ac:dyDescent="0.3">
      <c r="A380" t="s">
        <v>782</v>
      </c>
      <c r="B380" t="s">
        <v>783</v>
      </c>
      <c r="C380" s="13" t="s">
        <v>832</v>
      </c>
      <c r="D380" t="s">
        <v>27</v>
      </c>
      <c r="E380" t="s">
        <v>23</v>
      </c>
      <c r="F380" t="s">
        <v>40</v>
      </c>
      <c r="G380">
        <v>1</v>
      </c>
      <c r="H380" t="s">
        <v>49</v>
      </c>
      <c r="I380">
        <v>0</v>
      </c>
      <c r="J380">
        <v>43682</v>
      </c>
      <c r="K380" t="s">
        <v>18</v>
      </c>
      <c r="L380" t="s">
        <v>19</v>
      </c>
      <c r="M380">
        <v>92</v>
      </c>
      <c r="N380">
        <f>MONTH(QHSE[[#This Row],[Date]])</f>
        <v>9</v>
      </c>
    </row>
    <row r="381" spans="1:14" x14ac:dyDescent="0.3">
      <c r="A381" t="s">
        <v>784</v>
      </c>
      <c r="B381" t="s">
        <v>785</v>
      </c>
      <c r="C381" s="13" t="s">
        <v>832</v>
      </c>
      <c r="D381" t="s">
        <v>27</v>
      </c>
      <c r="E381" t="s">
        <v>25</v>
      </c>
      <c r="F381" t="s">
        <v>37</v>
      </c>
      <c r="G381">
        <v>2</v>
      </c>
      <c r="H381" t="s">
        <v>53</v>
      </c>
      <c r="I381">
        <v>0</v>
      </c>
      <c r="J381">
        <v>98446</v>
      </c>
      <c r="K381" t="s">
        <v>18</v>
      </c>
      <c r="L381" t="s">
        <v>46</v>
      </c>
      <c r="M381">
        <v>98</v>
      </c>
      <c r="N381">
        <f>MONTH(QHSE[[#This Row],[Date]])</f>
        <v>9</v>
      </c>
    </row>
    <row r="382" spans="1:14" x14ac:dyDescent="0.3">
      <c r="A382" t="s">
        <v>786</v>
      </c>
      <c r="B382" t="s">
        <v>787</v>
      </c>
      <c r="C382" s="13" t="s">
        <v>832</v>
      </c>
      <c r="D382" t="s">
        <v>14</v>
      </c>
      <c r="E382" t="s">
        <v>60</v>
      </c>
      <c r="F382" t="s">
        <v>40</v>
      </c>
      <c r="G382">
        <v>2</v>
      </c>
      <c r="H382" t="s">
        <v>96</v>
      </c>
      <c r="I382">
        <v>0</v>
      </c>
      <c r="J382">
        <v>145651</v>
      </c>
      <c r="K382" t="s">
        <v>30</v>
      </c>
      <c r="L382" t="s">
        <v>19</v>
      </c>
      <c r="M382">
        <v>89</v>
      </c>
      <c r="N382">
        <f>MONTH(QHSE[[#This Row],[Date]])</f>
        <v>9</v>
      </c>
    </row>
    <row r="383" spans="1:14" x14ac:dyDescent="0.3">
      <c r="A383" t="s">
        <v>788</v>
      </c>
      <c r="B383" t="s">
        <v>787</v>
      </c>
      <c r="C383" s="13" t="s">
        <v>832</v>
      </c>
      <c r="D383" t="s">
        <v>22</v>
      </c>
      <c r="E383" t="s">
        <v>15</v>
      </c>
      <c r="F383" t="s">
        <v>45</v>
      </c>
      <c r="G383">
        <v>1</v>
      </c>
      <c r="H383" t="s">
        <v>24</v>
      </c>
      <c r="I383">
        <v>0</v>
      </c>
      <c r="J383">
        <v>15807</v>
      </c>
      <c r="K383" t="s">
        <v>18</v>
      </c>
      <c r="L383" t="s">
        <v>46</v>
      </c>
      <c r="M383">
        <v>74</v>
      </c>
      <c r="N383">
        <f>MONTH(QHSE[[#This Row],[Date]])</f>
        <v>9</v>
      </c>
    </row>
    <row r="384" spans="1:14" x14ac:dyDescent="0.3">
      <c r="A384" t="s">
        <v>789</v>
      </c>
      <c r="B384" t="s">
        <v>790</v>
      </c>
      <c r="C384" s="13" t="s">
        <v>832</v>
      </c>
      <c r="D384" t="s">
        <v>14</v>
      </c>
      <c r="E384" t="s">
        <v>39</v>
      </c>
      <c r="F384" t="s">
        <v>72</v>
      </c>
      <c r="G384">
        <v>2</v>
      </c>
      <c r="H384" t="s">
        <v>24</v>
      </c>
      <c r="I384">
        <v>0</v>
      </c>
      <c r="J384">
        <v>192022</v>
      </c>
      <c r="K384" t="s">
        <v>18</v>
      </c>
      <c r="L384" t="s">
        <v>25</v>
      </c>
      <c r="M384">
        <v>78</v>
      </c>
      <c r="N384">
        <f>MONTH(QHSE[[#This Row],[Date]])</f>
        <v>9</v>
      </c>
    </row>
    <row r="385" spans="1:14" x14ac:dyDescent="0.3">
      <c r="A385" t="s">
        <v>791</v>
      </c>
      <c r="B385" t="s">
        <v>792</v>
      </c>
      <c r="C385" s="13" t="s">
        <v>832</v>
      </c>
      <c r="D385" t="s">
        <v>22</v>
      </c>
      <c r="E385" t="s">
        <v>36</v>
      </c>
      <c r="F385" t="s">
        <v>72</v>
      </c>
      <c r="G385">
        <v>3</v>
      </c>
      <c r="H385" t="s">
        <v>29</v>
      </c>
      <c r="I385">
        <v>0</v>
      </c>
      <c r="J385">
        <v>750140</v>
      </c>
      <c r="K385" t="s">
        <v>18</v>
      </c>
      <c r="L385" t="s">
        <v>19</v>
      </c>
      <c r="M385">
        <v>94</v>
      </c>
      <c r="N385">
        <f>MONTH(QHSE[[#This Row],[Date]])</f>
        <v>9</v>
      </c>
    </row>
    <row r="386" spans="1:14" x14ac:dyDescent="0.3">
      <c r="A386" t="s">
        <v>793</v>
      </c>
      <c r="B386" t="s">
        <v>792</v>
      </c>
      <c r="C386" s="13" t="s">
        <v>832</v>
      </c>
      <c r="D386" t="s">
        <v>33</v>
      </c>
      <c r="E386" t="s">
        <v>39</v>
      </c>
      <c r="F386" t="s">
        <v>40</v>
      </c>
      <c r="G386">
        <v>2</v>
      </c>
      <c r="H386" t="s">
        <v>49</v>
      </c>
      <c r="I386">
        <v>0</v>
      </c>
      <c r="J386">
        <v>92222</v>
      </c>
      <c r="K386" t="s">
        <v>30</v>
      </c>
      <c r="L386" t="s">
        <v>31</v>
      </c>
      <c r="M386">
        <v>89</v>
      </c>
      <c r="N386">
        <f>MONTH(QHSE[[#This Row],[Date]])</f>
        <v>9</v>
      </c>
    </row>
    <row r="387" spans="1:14" x14ac:dyDescent="0.3">
      <c r="A387" t="s">
        <v>794</v>
      </c>
      <c r="B387" t="s">
        <v>795</v>
      </c>
      <c r="C387" s="13" t="s">
        <v>832</v>
      </c>
      <c r="D387" t="s">
        <v>22</v>
      </c>
      <c r="E387" t="s">
        <v>36</v>
      </c>
      <c r="F387" t="s">
        <v>28</v>
      </c>
      <c r="G387">
        <v>2</v>
      </c>
      <c r="H387" t="s">
        <v>49</v>
      </c>
      <c r="I387">
        <v>0</v>
      </c>
      <c r="J387">
        <v>222680</v>
      </c>
      <c r="K387" t="s">
        <v>30</v>
      </c>
      <c r="L387" t="s">
        <v>25</v>
      </c>
      <c r="M387">
        <v>78</v>
      </c>
      <c r="N387">
        <f>MONTH(QHSE[[#This Row],[Date]])</f>
        <v>9</v>
      </c>
    </row>
    <row r="388" spans="1:14" x14ac:dyDescent="0.3">
      <c r="A388" t="s">
        <v>796</v>
      </c>
      <c r="B388" t="s">
        <v>797</v>
      </c>
      <c r="C388" s="13" t="s">
        <v>832</v>
      </c>
      <c r="D388" t="s">
        <v>27</v>
      </c>
      <c r="E388" t="s">
        <v>25</v>
      </c>
      <c r="F388" t="s">
        <v>45</v>
      </c>
      <c r="G388">
        <v>1</v>
      </c>
      <c r="H388" t="s">
        <v>96</v>
      </c>
      <c r="I388">
        <v>0</v>
      </c>
      <c r="J388">
        <v>26052</v>
      </c>
      <c r="K388" t="s">
        <v>18</v>
      </c>
      <c r="L388" t="s">
        <v>46</v>
      </c>
      <c r="M388">
        <v>99</v>
      </c>
      <c r="N388">
        <f>MONTH(QHSE[[#This Row],[Date]])</f>
        <v>9</v>
      </c>
    </row>
    <row r="389" spans="1:14" x14ac:dyDescent="0.3">
      <c r="A389" t="s">
        <v>798</v>
      </c>
      <c r="B389" t="s">
        <v>797</v>
      </c>
      <c r="C389" s="13" t="s">
        <v>832</v>
      </c>
      <c r="D389" t="s">
        <v>22</v>
      </c>
      <c r="E389" t="s">
        <v>23</v>
      </c>
      <c r="F389" t="s">
        <v>16</v>
      </c>
      <c r="G389">
        <v>4</v>
      </c>
      <c r="H389" t="s">
        <v>17</v>
      </c>
      <c r="I389">
        <v>9</v>
      </c>
      <c r="J389">
        <v>2170060</v>
      </c>
      <c r="K389" t="s">
        <v>18</v>
      </c>
      <c r="L389" t="s">
        <v>25</v>
      </c>
      <c r="M389">
        <v>98</v>
      </c>
      <c r="N389">
        <f>MONTH(QHSE[[#This Row],[Date]])</f>
        <v>9</v>
      </c>
    </row>
    <row r="390" spans="1:14" x14ac:dyDescent="0.3">
      <c r="A390" t="s">
        <v>799</v>
      </c>
      <c r="B390" t="s">
        <v>800</v>
      </c>
      <c r="C390" s="13" t="s">
        <v>832</v>
      </c>
      <c r="D390" t="s">
        <v>33</v>
      </c>
      <c r="E390" t="s">
        <v>25</v>
      </c>
      <c r="F390" t="s">
        <v>28</v>
      </c>
      <c r="G390">
        <v>3</v>
      </c>
      <c r="H390" t="s">
        <v>77</v>
      </c>
      <c r="I390">
        <v>0</v>
      </c>
      <c r="J390">
        <v>364247</v>
      </c>
      <c r="K390" t="s">
        <v>18</v>
      </c>
      <c r="L390" t="s">
        <v>19</v>
      </c>
      <c r="M390">
        <v>74</v>
      </c>
      <c r="N390">
        <f>MONTH(QHSE[[#This Row],[Date]])</f>
        <v>9</v>
      </c>
    </row>
    <row r="391" spans="1:14" x14ac:dyDescent="0.3">
      <c r="A391" t="s">
        <v>801</v>
      </c>
      <c r="B391" t="s">
        <v>800</v>
      </c>
      <c r="C391" s="13" t="s">
        <v>832</v>
      </c>
      <c r="D391" t="s">
        <v>27</v>
      </c>
      <c r="E391" t="s">
        <v>60</v>
      </c>
      <c r="F391" t="s">
        <v>28</v>
      </c>
      <c r="G391">
        <v>3</v>
      </c>
      <c r="H391" t="s">
        <v>29</v>
      </c>
      <c r="I391">
        <v>0</v>
      </c>
      <c r="J391">
        <v>449626</v>
      </c>
      <c r="K391" t="s">
        <v>30</v>
      </c>
      <c r="L391" t="s">
        <v>23</v>
      </c>
      <c r="M391">
        <v>99</v>
      </c>
      <c r="N391">
        <f>MONTH(QHSE[[#This Row],[Date]])</f>
        <v>9</v>
      </c>
    </row>
    <row r="392" spans="1:14" x14ac:dyDescent="0.3">
      <c r="A392" t="s">
        <v>802</v>
      </c>
      <c r="B392" t="s">
        <v>800</v>
      </c>
      <c r="C392" s="13" t="s">
        <v>832</v>
      </c>
      <c r="D392" t="s">
        <v>27</v>
      </c>
      <c r="E392" t="s">
        <v>60</v>
      </c>
      <c r="F392" t="s">
        <v>45</v>
      </c>
      <c r="G392">
        <v>1</v>
      </c>
      <c r="H392" t="s">
        <v>49</v>
      </c>
      <c r="I392">
        <v>0</v>
      </c>
      <c r="J392">
        <v>10881</v>
      </c>
      <c r="K392" t="s">
        <v>18</v>
      </c>
      <c r="L392" t="s">
        <v>23</v>
      </c>
      <c r="M392">
        <v>75</v>
      </c>
      <c r="N392">
        <f>MONTH(QHSE[[#This Row],[Date]])</f>
        <v>9</v>
      </c>
    </row>
    <row r="393" spans="1:14" x14ac:dyDescent="0.3">
      <c r="A393" t="s">
        <v>803</v>
      </c>
      <c r="B393" t="s">
        <v>800</v>
      </c>
      <c r="C393" s="13" t="s">
        <v>832</v>
      </c>
      <c r="D393" t="s">
        <v>22</v>
      </c>
      <c r="E393" t="s">
        <v>36</v>
      </c>
      <c r="F393" t="s">
        <v>40</v>
      </c>
      <c r="G393">
        <v>1</v>
      </c>
      <c r="H393" t="s">
        <v>29</v>
      </c>
      <c r="I393">
        <v>0</v>
      </c>
      <c r="J393">
        <v>33330</v>
      </c>
      <c r="K393" t="s">
        <v>18</v>
      </c>
      <c r="L393" t="s">
        <v>46</v>
      </c>
      <c r="M393">
        <v>75</v>
      </c>
      <c r="N393">
        <f>MONTH(QHSE[[#This Row],[Date]])</f>
        <v>9</v>
      </c>
    </row>
    <row r="394" spans="1:14" x14ac:dyDescent="0.3">
      <c r="A394" t="s">
        <v>804</v>
      </c>
      <c r="B394" t="s">
        <v>800</v>
      </c>
      <c r="C394" s="13" t="s">
        <v>832</v>
      </c>
      <c r="D394" t="s">
        <v>14</v>
      </c>
      <c r="E394" t="s">
        <v>15</v>
      </c>
      <c r="F394" t="s">
        <v>40</v>
      </c>
      <c r="G394">
        <v>1</v>
      </c>
      <c r="H394" t="s">
        <v>49</v>
      </c>
      <c r="I394">
        <v>0</v>
      </c>
      <c r="J394">
        <v>43689</v>
      </c>
      <c r="K394" t="s">
        <v>18</v>
      </c>
      <c r="L394" t="s">
        <v>46</v>
      </c>
      <c r="M394">
        <v>85</v>
      </c>
      <c r="N394">
        <f>MONTH(QHSE[[#This Row],[Date]])</f>
        <v>9</v>
      </c>
    </row>
    <row r="395" spans="1:14" x14ac:dyDescent="0.3">
      <c r="A395" t="s">
        <v>805</v>
      </c>
      <c r="B395" t="s">
        <v>806</v>
      </c>
      <c r="C395" s="13" t="s">
        <v>832</v>
      </c>
      <c r="D395" t="s">
        <v>22</v>
      </c>
      <c r="E395" t="s">
        <v>15</v>
      </c>
      <c r="F395" t="s">
        <v>40</v>
      </c>
      <c r="G395">
        <v>1</v>
      </c>
      <c r="H395" t="s">
        <v>29</v>
      </c>
      <c r="I395">
        <v>0</v>
      </c>
      <c r="J395">
        <v>31959</v>
      </c>
      <c r="K395" t="s">
        <v>18</v>
      </c>
      <c r="L395" t="s">
        <v>23</v>
      </c>
      <c r="M395">
        <v>85</v>
      </c>
      <c r="N395">
        <f>MONTH(QHSE[[#This Row],[Date]])</f>
        <v>9</v>
      </c>
    </row>
    <row r="396" spans="1:14" x14ac:dyDescent="0.3">
      <c r="A396" t="s">
        <v>807</v>
      </c>
      <c r="B396" t="s">
        <v>808</v>
      </c>
      <c r="C396" s="13" t="s">
        <v>832</v>
      </c>
      <c r="D396" t="s">
        <v>58</v>
      </c>
      <c r="E396" t="s">
        <v>36</v>
      </c>
      <c r="F396" t="s">
        <v>40</v>
      </c>
      <c r="G396">
        <v>2</v>
      </c>
      <c r="H396" t="s">
        <v>53</v>
      </c>
      <c r="I396">
        <v>0</v>
      </c>
      <c r="J396">
        <v>93854</v>
      </c>
      <c r="K396" t="s">
        <v>18</v>
      </c>
      <c r="L396" t="s">
        <v>46</v>
      </c>
      <c r="M396">
        <v>86</v>
      </c>
      <c r="N396">
        <f>MONTH(QHSE[[#This Row],[Date]])</f>
        <v>9</v>
      </c>
    </row>
    <row r="397" spans="1:14" x14ac:dyDescent="0.3">
      <c r="A397" t="s">
        <v>809</v>
      </c>
      <c r="B397" t="s">
        <v>808</v>
      </c>
      <c r="C397" s="13" t="s">
        <v>832</v>
      </c>
      <c r="D397" t="s">
        <v>22</v>
      </c>
      <c r="E397" t="s">
        <v>60</v>
      </c>
      <c r="F397" t="s">
        <v>40</v>
      </c>
      <c r="G397">
        <v>2</v>
      </c>
      <c r="H397" t="s">
        <v>24</v>
      </c>
      <c r="I397">
        <v>0</v>
      </c>
      <c r="J397">
        <v>56733</v>
      </c>
      <c r="K397" t="s">
        <v>18</v>
      </c>
      <c r="L397" t="s">
        <v>25</v>
      </c>
      <c r="M397">
        <v>71</v>
      </c>
      <c r="N397">
        <f>MONTH(QHSE[[#This Row],[Date]])</f>
        <v>9</v>
      </c>
    </row>
    <row r="398" spans="1:14" x14ac:dyDescent="0.3">
      <c r="B398" t="s">
        <v>13</v>
      </c>
      <c r="C398" s="13" t="s">
        <v>821</v>
      </c>
      <c r="D398" t="s">
        <v>14</v>
      </c>
      <c r="E398" t="s">
        <v>15</v>
      </c>
      <c r="F398" t="s">
        <v>16</v>
      </c>
      <c r="G398">
        <v>2</v>
      </c>
      <c r="H398" t="s">
        <v>17</v>
      </c>
      <c r="I398">
        <v>10</v>
      </c>
      <c r="J398">
        <v>162036</v>
      </c>
      <c r="K398" t="s">
        <v>18</v>
      </c>
      <c r="L398" t="s">
        <v>19</v>
      </c>
      <c r="M398">
        <v>94</v>
      </c>
      <c r="N398">
        <f>MONTH(QHSE[[#This Row],[Date]])</f>
        <v>10</v>
      </c>
    </row>
    <row r="399" spans="1:14" x14ac:dyDescent="0.3">
      <c r="A399" t="s">
        <v>20</v>
      </c>
      <c r="B399" t="s">
        <v>21</v>
      </c>
      <c r="C399" s="13" t="s">
        <v>821</v>
      </c>
      <c r="D399" t="s">
        <v>22</v>
      </c>
      <c r="E399" t="s">
        <v>23</v>
      </c>
      <c r="F399" t="s">
        <v>16</v>
      </c>
      <c r="G399">
        <v>2</v>
      </c>
      <c r="H399" t="s">
        <v>24</v>
      </c>
      <c r="I399">
        <v>5</v>
      </c>
      <c r="J399">
        <v>200145</v>
      </c>
      <c r="K399" t="s">
        <v>18</v>
      </c>
      <c r="L399" t="s">
        <v>25</v>
      </c>
      <c r="M399">
        <v>77</v>
      </c>
      <c r="N399">
        <f>MONTH(QHSE[[#This Row],[Date]])</f>
        <v>10</v>
      </c>
    </row>
    <row r="400" spans="1:14" x14ac:dyDescent="0.3">
      <c r="A400" t="s">
        <v>26</v>
      </c>
      <c r="B400" t="s">
        <v>21</v>
      </c>
      <c r="C400" s="13" t="s">
        <v>821</v>
      </c>
      <c r="D400" t="s">
        <v>27</v>
      </c>
      <c r="E400" t="s">
        <v>15</v>
      </c>
      <c r="F400" t="s">
        <v>28</v>
      </c>
      <c r="G400">
        <v>2</v>
      </c>
      <c r="H400" t="s">
        <v>29</v>
      </c>
      <c r="I400">
        <v>0</v>
      </c>
      <c r="J400">
        <v>161596</v>
      </c>
      <c r="K400" t="s">
        <v>30</v>
      </c>
      <c r="L400" t="s">
        <v>31</v>
      </c>
      <c r="M400">
        <v>77</v>
      </c>
      <c r="N400">
        <f>MONTH(QHSE[[#This Row],[Date]])</f>
        <v>10</v>
      </c>
    </row>
    <row r="401" spans="1:14" x14ac:dyDescent="0.3">
      <c r="A401" t="s">
        <v>32</v>
      </c>
      <c r="B401" t="s">
        <v>21</v>
      </c>
      <c r="C401" s="13" t="s">
        <v>821</v>
      </c>
      <c r="D401" t="s">
        <v>33</v>
      </c>
      <c r="E401" t="s">
        <v>15</v>
      </c>
      <c r="F401" t="s">
        <v>16</v>
      </c>
      <c r="G401">
        <v>2</v>
      </c>
      <c r="H401" t="s">
        <v>29</v>
      </c>
      <c r="I401">
        <v>8</v>
      </c>
      <c r="J401">
        <v>160502</v>
      </c>
      <c r="K401" t="s">
        <v>18</v>
      </c>
      <c r="L401" t="s">
        <v>23</v>
      </c>
      <c r="M401">
        <v>66</v>
      </c>
      <c r="N401">
        <f>MONTH(QHSE[[#This Row],[Date]])</f>
        <v>10</v>
      </c>
    </row>
    <row r="402" spans="1:14" x14ac:dyDescent="0.3">
      <c r="A402" t="s">
        <v>34</v>
      </c>
      <c r="B402" t="s">
        <v>35</v>
      </c>
      <c r="C402" s="13" t="s">
        <v>821</v>
      </c>
      <c r="D402" t="s">
        <v>27</v>
      </c>
      <c r="E402" t="s">
        <v>36</v>
      </c>
      <c r="F402" t="s">
        <v>37</v>
      </c>
      <c r="G402">
        <v>1</v>
      </c>
      <c r="H402" t="s">
        <v>17</v>
      </c>
      <c r="I402">
        <v>0</v>
      </c>
      <c r="J402">
        <v>13766</v>
      </c>
      <c r="K402" t="s">
        <v>30</v>
      </c>
      <c r="L402" t="s">
        <v>23</v>
      </c>
      <c r="M402">
        <v>66</v>
      </c>
      <c r="N402">
        <f>MONTH(QHSE[[#This Row],[Date]])</f>
        <v>10</v>
      </c>
    </row>
    <row r="403" spans="1:14" x14ac:dyDescent="0.3">
      <c r="A403" t="s">
        <v>38</v>
      </c>
      <c r="B403" t="s">
        <v>35</v>
      </c>
      <c r="C403" s="13" t="s">
        <v>821</v>
      </c>
      <c r="D403" t="s">
        <v>27</v>
      </c>
      <c r="E403" t="s">
        <v>39</v>
      </c>
      <c r="F403" t="s">
        <v>40</v>
      </c>
      <c r="G403">
        <v>1</v>
      </c>
      <c r="H403" t="s">
        <v>29</v>
      </c>
      <c r="I403">
        <v>0</v>
      </c>
      <c r="J403">
        <v>23746</v>
      </c>
      <c r="K403" t="s">
        <v>41</v>
      </c>
      <c r="L403" t="s">
        <v>31</v>
      </c>
      <c r="M403">
        <v>90</v>
      </c>
      <c r="N403">
        <f>MONTH(QHSE[[#This Row],[Date]])</f>
        <v>10</v>
      </c>
    </row>
    <row r="404" spans="1:14" x14ac:dyDescent="0.3">
      <c r="A404" t="s">
        <v>42</v>
      </c>
      <c r="B404" t="s">
        <v>43</v>
      </c>
      <c r="C404" s="13" t="s">
        <v>821</v>
      </c>
      <c r="D404" t="s">
        <v>14</v>
      </c>
      <c r="E404" t="s">
        <v>25</v>
      </c>
      <c r="F404" t="s">
        <v>16</v>
      </c>
      <c r="G404">
        <v>4</v>
      </c>
      <c r="H404" t="s">
        <v>17</v>
      </c>
      <c r="I404">
        <v>1</v>
      </c>
      <c r="J404">
        <v>2129723</v>
      </c>
      <c r="K404" t="s">
        <v>18</v>
      </c>
      <c r="L404" t="s">
        <v>23</v>
      </c>
      <c r="M404">
        <v>75</v>
      </c>
      <c r="N404">
        <f>MONTH(QHSE[[#This Row],[Date]])</f>
        <v>10</v>
      </c>
    </row>
    <row r="405" spans="1:14" x14ac:dyDescent="0.3">
      <c r="A405" t="s">
        <v>44</v>
      </c>
      <c r="B405" t="s">
        <v>43</v>
      </c>
      <c r="C405" s="13" t="s">
        <v>821</v>
      </c>
      <c r="D405" t="s">
        <v>27</v>
      </c>
      <c r="E405" t="s">
        <v>23</v>
      </c>
      <c r="F405" t="s">
        <v>45</v>
      </c>
      <c r="G405">
        <v>2</v>
      </c>
      <c r="H405" t="s">
        <v>24</v>
      </c>
      <c r="I405">
        <v>0</v>
      </c>
      <c r="J405">
        <v>128145</v>
      </c>
      <c r="K405" t="s">
        <v>41</v>
      </c>
      <c r="L405" t="s">
        <v>46</v>
      </c>
      <c r="M405">
        <v>72</v>
      </c>
      <c r="N405">
        <f>MONTH(QHSE[[#This Row],[Date]])</f>
        <v>10</v>
      </c>
    </row>
    <row r="406" spans="1:14" x14ac:dyDescent="0.3">
      <c r="A406" t="s">
        <v>47</v>
      </c>
      <c r="B406" t="s">
        <v>48</v>
      </c>
      <c r="C406" s="13" t="s">
        <v>821</v>
      </c>
      <c r="D406" t="s">
        <v>27</v>
      </c>
      <c r="E406" t="s">
        <v>36</v>
      </c>
      <c r="F406" t="s">
        <v>40</v>
      </c>
      <c r="G406">
        <v>2</v>
      </c>
      <c r="H406" t="s">
        <v>49</v>
      </c>
      <c r="I406">
        <v>0</v>
      </c>
      <c r="J406">
        <v>209668</v>
      </c>
      <c r="K406" t="s">
        <v>18</v>
      </c>
      <c r="L406" t="s">
        <v>25</v>
      </c>
      <c r="M406">
        <v>86</v>
      </c>
      <c r="N406">
        <f>MONTH(QHSE[[#This Row],[Date]])</f>
        <v>10</v>
      </c>
    </row>
    <row r="407" spans="1:14" x14ac:dyDescent="0.3">
      <c r="A407" t="s">
        <v>50</v>
      </c>
      <c r="B407" t="s">
        <v>51</v>
      </c>
      <c r="C407" s="13" t="s">
        <v>821</v>
      </c>
      <c r="D407" t="s">
        <v>33</v>
      </c>
      <c r="E407" t="s">
        <v>39</v>
      </c>
      <c r="F407" t="s">
        <v>28</v>
      </c>
      <c r="G407">
        <v>2</v>
      </c>
      <c r="H407" t="s">
        <v>17</v>
      </c>
      <c r="I407">
        <v>0</v>
      </c>
      <c r="J407">
        <v>124386</v>
      </c>
      <c r="K407" t="s">
        <v>30</v>
      </c>
      <c r="L407" t="s">
        <v>19</v>
      </c>
      <c r="M407">
        <v>84</v>
      </c>
      <c r="N407">
        <f>MONTH(QHSE[[#This Row],[Date]])</f>
        <v>10</v>
      </c>
    </row>
    <row r="408" spans="1:14" x14ac:dyDescent="0.3">
      <c r="A408" t="s">
        <v>52</v>
      </c>
      <c r="B408" t="s">
        <v>51</v>
      </c>
      <c r="C408" s="13" t="s">
        <v>821</v>
      </c>
      <c r="D408" t="s">
        <v>27</v>
      </c>
      <c r="E408" t="s">
        <v>25</v>
      </c>
      <c r="F408" t="s">
        <v>45</v>
      </c>
      <c r="G408">
        <v>2</v>
      </c>
      <c r="H408" t="s">
        <v>53</v>
      </c>
      <c r="I408">
        <v>0</v>
      </c>
      <c r="J408">
        <v>140339</v>
      </c>
      <c r="K408" t="s">
        <v>18</v>
      </c>
      <c r="L408" t="s">
        <v>31</v>
      </c>
      <c r="M408">
        <v>72</v>
      </c>
      <c r="N408">
        <f>MONTH(QHSE[[#This Row],[Date]])</f>
        <v>10</v>
      </c>
    </row>
    <row r="409" spans="1:14" x14ac:dyDescent="0.3">
      <c r="A409" t="s">
        <v>54</v>
      </c>
      <c r="B409" t="s">
        <v>55</v>
      </c>
      <c r="C409" s="13" t="s">
        <v>821</v>
      </c>
      <c r="D409" t="s">
        <v>33</v>
      </c>
      <c r="E409" t="s">
        <v>25</v>
      </c>
      <c r="F409" t="s">
        <v>40</v>
      </c>
      <c r="G409">
        <v>2</v>
      </c>
      <c r="H409" t="s">
        <v>29</v>
      </c>
      <c r="I409">
        <v>0</v>
      </c>
      <c r="J409">
        <v>129476</v>
      </c>
      <c r="K409" t="s">
        <v>18</v>
      </c>
      <c r="L409" t="s">
        <v>46</v>
      </c>
      <c r="M409">
        <v>93</v>
      </c>
      <c r="N409">
        <f>MONTH(QHSE[[#This Row],[Date]])</f>
        <v>10</v>
      </c>
    </row>
    <row r="410" spans="1:14" x14ac:dyDescent="0.3">
      <c r="A410" t="s">
        <v>56</v>
      </c>
      <c r="B410" t="s">
        <v>57</v>
      </c>
      <c r="C410" s="13" t="s">
        <v>821</v>
      </c>
      <c r="D410" t="s">
        <v>58</v>
      </c>
      <c r="E410" t="s">
        <v>36</v>
      </c>
      <c r="F410" t="s">
        <v>45</v>
      </c>
      <c r="G410">
        <v>2</v>
      </c>
      <c r="H410" t="s">
        <v>17</v>
      </c>
      <c r="I410">
        <v>0</v>
      </c>
      <c r="J410">
        <v>68681</v>
      </c>
      <c r="K410" t="s">
        <v>18</v>
      </c>
      <c r="L410" t="s">
        <v>19</v>
      </c>
      <c r="M410">
        <v>90</v>
      </c>
      <c r="N410">
        <f>MONTH(QHSE[[#This Row],[Date]])</f>
        <v>10</v>
      </c>
    </row>
    <row r="411" spans="1:14" x14ac:dyDescent="0.3">
      <c r="A411" t="s">
        <v>59</v>
      </c>
      <c r="B411" t="s">
        <v>57</v>
      </c>
      <c r="C411" s="13" t="s">
        <v>821</v>
      </c>
      <c r="D411" t="s">
        <v>22</v>
      </c>
      <c r="E411" t="s">
        <v>60</v>
      </c>
      <c r="F411" t="s">
        <v>28</v>
      </c>
      <c r="G411">
        <v>3</v>
      </c>
      <c r="H411" t="s">
        <v>17</v>
      </c>
      <c r="I411">
        <v>0</v>
      </c>
      <c r="J411">
        <v>580804</v>
      </c>
      <c r="K411" t="s">
        <v>18</v>
      </c>
      <c r="L411" t="s">
        <v>19</v>
      </c>
      <c r="M411">
        <v>94</v>
      </c>
      <c r="N411">
        <f>MONTH(QHSE[[#This Row],[Date]])</f>
        <v>10</v>
      </c>
    </row>
    <row r="412" spans="1:14" x14ac:dyDescent="0.3">
      <c r="A412" t="s">
        <v>61</v>
      </c>
      <c r="B412" t="s">
        <v>62</v>
      </c>
      <c r="C412" s="13" t="s">
        <v>821</v>
      </c>
      <c r="D412" t="s">
        <v>22</v>
      </c>
      <c r="E412" t="s">
        <v>23</v>
      </c>
      <c r="F412" t="s">
        <v>37</v>
      </c>
      <c r="G412">
        <v>1</v>
      </c>
      <c r="H412" t="s">
        <v>24</v>
      </c>
      <c r="I412">
        <v>0</v>
      </c>
      <c r="J412">
        <v>17824</v>
      </c>
      <c r="K412" t="s">
        <v>18</v>
      </c>
      <c r="L412" t="s">
        <v>31</v>
      </c>
      <c r="M412">
        <v>81</v>
      </c>
      <c r="N412">
        <f>MONTH(QHSE[[#This Row],[Date]])</f>
        <v>10</v>
      </c>
    </row>
    <row r="413" spans="1:14" x14ac:dyDescent="0.3">
      <c r="A413" t="s">
        <v>63</v>
      </c>
      <c r="B413" t="s">
        <v>64</v>
      </c>
      <c r="C413" s="13" t="s">
        <v>821</v>
      </c>
      <c r="D413" t="s">
        <v>22</v>
      </c>
      <c r="E413" t="s">
        <v>25</v>
      </c>
      <c r="F413" t="s">
        <v>28</v>
      </c>
      <c r="G413">
        <v>3</v>
      </c>
      <c r="H413" t="s">
        <v>29</v>
      </c>
      <c r="I413">
        <v>0</v>
      </c>
      <c r="J413">
        <v>390042</v>
      </c>
      <c r="K413" t="s">
        <v>18</v>
      </c>
      <c r="L413" t="s">
        <v>46</v>
      </c>
      <c r="M413">
        <v>84</v>
      </c>
      <c r="N413">
        <f>MONTH(QHSE[[#This Row],[Date]])</f>
        <v>10</v>
      </c>
    </row>
    <row r="414" spans="1:14" x14ac:dyDescent="0.3">
      <c r="A414" t="s">
        <v>65</v>
      </c>
      <c r="B414" t="s">
        <v>64</v>
      </c>
      <c r="C414" s="13" t="s">
        <v>821</v>
      </c>
      <c r="D414" t="s">
        <v>22</v>
      </c>
      <c r="E414" t="s">
        <v>36</v>
      </c>
      <c r="F414" t="s">
        <v>28</v>
      </c>
      <c r="G414">
        <v>3</v>
      </c>
      <c r="H414" t="s">
        <v>49</v>
      </c>
      <c r="I414">
        <v>0</v>
      </c>
      <c r="J414">
        <v>320527</v>
      </c>
      <c r="K414" t="s">
        <v>18</v>
      </c>
      <c r="L414" t="s">
        <v>19</v>
      </c>
      <c r="M414">
        <v>80</v>
      </c>
      <c r="N414">
        <f>MONTH(QHSE[[#This Row],[Date]])</f>
        <v>10</v>
      </c>
    </row>
    <row r="415" spans="1:14" x14ac:dyDescent="0.3">
      <c r="A415" t="s">
        <v>66</v>
      </c>
      <c r="B415" t="s">
        <v>67</v>
      </c>
      <c r="C415" s="13" t="s">
        <v>821</v>
      </c>
      <c r="D415" t="s">
        <v>22</v>
      </c>
      <c r="E415" t="s">
        <v>36</v>
      </c>
      <c r="F415" t="s">
        <v>45</v>
      </c>
      <c r="G415">
        <v>2</v>
      </c>
      <c r="H415" t="s">
        <v>24</v>
      </c>
      <c r="I415">
        <v>0</v>
      </c>
      <c r="J415">
        <v>121334</v>
      </c>
      <c r="K415" t="s">
        <v>41</v>
      </c>
      <c r="L415" t="s">
        <v>19</v>
      </c>
      <c r="M415">
        <v>71</v>
      </c>
      <c r="N415">
        <f>MONTH(QHSE[[#This Row],[Date]])</f>
        <v>10</v>
      </c>
    </row>
    <row r="416" spans="1:14" x14ac:dyDescent="0.3">
      <c r="A416" t="s">
        <v>68</v>
      </c>
      <c r="B416" t="s">
        <v>69</v>
      </c>
      <c r="C416" s="13" t="s">
        <v>821</v>
      </c>
      <c r="D416" t="s">
        <v>14</v>
      </c>
      <c r="E416" t="s">
        <v>39</v>
      </c>
      <c r="F416" t="s">
        <v>40</v>
      </c>
      <c r="G416">
        <v>1</v>
      </c>
      <c r="H416" t="s">
        <v>49</v>
      </c>
      <c r="I416">
        <v>0</v>
      </c>
      <c r="J416">
        <v>40299</v>
      </c>
      <c r="K416" t="s">
        <v>30</v>
      </c>
      <c r="L416" t="s">
        <v>46</v>
      </c>
      <c r="M416">
        <v>80</v>
      </c>
      <c r="N416">
        <f>MONTH(QHSE[[#This Row],[Date]])</f>
        <v>10</v>
      </c>
    </row>
    <row r="417" spans="1:14" x14ac:dyDescent="0.3">
      <c r="A417" t="s">
        <v>70</v>
      </c>
      <c r="B417" t="s">
        <v>71</v>
      </c>
      <c r="C417" s="13" t="s">
        <v>821</v>
      </c>
      <c r="D417" t="s">
        <v>22</v>
      </c>
      <c r="E417" t="s">
        <v>60</v>
      </c>
      <c r="F417" t="s">
        <v>72</v>
      </c>
      <c r="G417">
        <v>1</v>
      </c>
      <c r="H417" t="s">
        <v>24</v>
      </c>
      <c r="I417">
        <v>0</v>
      </c>
      <c r="J417">
        <v>21057</v>
      </c>
      <c r="K417" t="s">
        <v>18</v>
      </c>
      <c r="L417" t="s">
        <v>23</v>
      </c>
      <c r="M417">
        <v>91</v>
      </c>
      <c r="N417">
        <f>MONTH(QHSE[[#This Row],[Date]])</f>
        <v>10</v>
      </c>
    </row>
    <row r="418" spans="1:14" x14ac:dyDescent="0.3">
      <c r="A418" t="s">
        <v>73</v>
      </c>
      <c r="B418" t="s">
        <v>74</v>
      </c>
      <c r="C418" s="13" t="s">
        <v>821</v>
      </c>
      <c r="D418" t="s">
        <v>22</v>
      </c>
      <c r="E418" t="s">
        <v>23</v>
      </c>
      <c r="F418" t="s">
        <v>16</v>
      </c>
      <c r="G418">
        <v>4</v>
      </c>
      <c r="H418" t="s">
        <v>29</v>
      </c>
      <c r="I418">
        <v>3</v>
      </c>
      <c r="J418">
        <v>2249396</v>
      </c>
      <c r="K418" t="s">
        <v>18</v>
      </c>
      <c r="L418" t="s">
        <v>19</v>
      </c>
      <c r="M418">
        <v>87</v>
      </c>
      <c r="N418">
        <f>MONTH(QHSE[[#This Row],[Date]])</f>
        <v>10</v>
      </c>
    </row>
    <row r="419" spans="1:14" x14ac:dyDescent="0.3">
      <c r="A419" t="s">
        <v>75</v>
      </c>
      <c r="B419" t="s">
        <v>76</v>
      </c>
      <c r="C419" s="13" t="s">
        <v>821</v>
      </c>
      <c r="D419" t="s">
        <v>58</v>
      </c>
      <c r="E419" t="s">
        <v>15</v>
      </c>
      <c r="F419" t="s">
        <v>16</v>
      </c>
      <c r="G419">
        <v>4</v>
      </c>
      <c r="H419" t="s">
        <v>77</v>
      </c>
      <c r="I419">
        <v>3</v>
      </c>
      <c r="J419">
        <v>3570698</v>
      </c>
      <c r="K419" t="s">
        <v>41</v>
      </c>
      <c r="L419" t="s">
        <v>25</v>
      </c>
      <c r="M419">
        <v>88</v>
      </c>
      <c r="N419">
        <f>MONTH(QHSE[[#This Row],[Date]])</f>
        <v>10</v>
      </c>
    </row>
    <row r="420" spans="1:14" x14ac:dyDescent="0.3">
      <c r="A420" t="s">
        <v>78</v>
      </c>
      <c r="B420" t="s">
        <v>76</v>
      </c>
      <c r="C420" s="13" t="s">
        <v>821</v>
      </c>
      <c r="D420" t="s">
        <v>22</v>
      </c>
      <c r="E420" t="s">
        <v>39</v>
      </c>
      <c r="F420" t="s">
        <v>37</v>
      </c>
      <c r="G420">
        <v>1</v>
      </c>
      <c r="H420" t="s">
        <v>29</v>
      </c>
      <c r="I420">
        <v>0</v>
      </c>
      <c r="J420">
        <v>17833</v>
      </c>
      <c r="K420" t="s">
        <v>41</v>
      </c>
      <c r="L420" t="s">
        <v>46</v>
      </c>
      <c r="M420">
        <v>73</v>
      </c>
      <c r="N420">
        <f>MONTH(QHSE[[#This Row],[Date]])</f>
        <v>10</v>
      </c>
    </row>
    <row r="421" spans="1:14" x14ac:dyDescent="0.3">
      <c r="A421" t="s">
        <v>79</v>
      </c>
      <c r="B421" t="s">
        <v>80</v>
      </c>
      <c r="C421" s="13" t="s">
        <v>821</v>
      </c>
      <c r="D421" t="s">
        <v>58</v>
      </c>
      <c r="E421" t="s">
        <v>25</v>
      </c>
      <c r="F421" t="s">
        <v>37</v>
      </c>
      <c r="G421">
        <v>1</v>
      </c>
      <c r="H421" t="s">
        <v>29</v>
      </c>
      <c r="I421">
        <v>0</v>
      </c>
      <c r="J421">
        <v>45878</v>
      </c>
      <c r="K421" t="s">
        <v>30</v>
      </c>
      <c r="L421" t="s">
        <v>19</v>
      </c>
      <c r="M421">
        <v>99</v>
      </c>
      <c r="N421">
        <f>MONTH(QHSE[[#This Row],[Date]])</f>
        <v>10</v>
      </c>
    </row>
    <row r="422" spans="1:14" x14ac:dyDescent="0.3">
      <c r="A422" t="s">
        <v>81</v>
      </c>
      <c r="B422" t="s">
        <v>80</v>
      </c>
      <c r="C422" s="13" t="s">
        <v>821</v>
      </c>
      <c r="D422" t="s">
        <v>22</v>
      </c>
      <c r="E422" t="s">
        <v>25</v>
      </c>
      <c r="F422" t="s">
        <v>16</v>
      </c>
      <c r="G422">
        <v>2</v>
      </c>
      <c r="H422" t="s">
        <v>49</v>
      </c>
      <c r="I422">
        <v>9</v>
      </c>
      <c r="J422">
        <v>154038</v>
      </c>
      <c r="K422" t="s">
        <v>18</v>
      </c>
      <c r="L422" t="s">
        <v>31</v>
      </c>
      <c r="M422">
        <v>84</v>
      </c>
      <c r="N422">
        <f>MONTH(QHSE[[#This Row],[Date]])</f>
        <v>10</v>
      </c>
    </row>
    <row r="423" spans="1:14" x14ac:dyDescent="0.3">
      <c r="A423" t="s">
        <v>82</v>
      </c>
      <c r="B423" t="s">
        <v>83</v>
      </c>
      <c r="C423" s="13" t="s">
        <v>821</v>
      </c>
      <c r="D423" t="s">
        <v>22</v>
      </c>
      <c r="E423" t="s">
        <v>39</v>
      </c>
      <c r="F423" t="s">
        <v>72</v>
      </c>
      <c r="G423">
        <v>2</v>
      </c>
      <c r="H423" t="s">
        <v>49</v>
      </c>
      <c r="I423">
        <v>0</v>
      </c>
      <c r="J423">
        <v>139520</v>
      </c>
      <c r="K423" t="s">
        <v>18</v>
      </c>
      <c r="L423" t="s">
        <v>25</v>
      </c>
      <c r="M423">
        <v>81</v>
      </c>
      <c r="N423">
        <f>MONTH(QHSE[[#This Row],[Date]])</f>
        <v>10</v>
      </c>
    </row>
    <row r="424" spans="1:14" x14ac:dyDescent="0.3">
      <c r="A424" t="s">
        <v>84</v>
      </c>
      <c r="B424" t="s">
        <v>85</v>
      </c>
      <c r="C424" s="13" t="s">
        <v>821</v>
      </c>
      <c r="D424" t="s">
        <v>14</v>
      </c>
      <c r="E424" t="s">
        <v>36</v>
      </c>
      <c r="F424" t="s">
        <v>16</v>
      </c>
      <c r="G424">
        <v>3</v>
      </c>
      <c r="H424" t="s">
        <v>29</v>
      </c>
      <c r="I424">
        <v>5</v>
      </c>
      <c r="J424">
        <v>668365</v>
      </c>
      <c r="K424" t="s">
        <v>18</v>
      </c>
      <c r="L424" t="s">
        <v>19</v>
      </c>
      <c r="M424">
        <v>95</v>
      </c>
      <c r="N424">
        <f>MONTH(QHSE[[#This Row],[Date]])</f>
        <v>10</v>
      </c>
    </row>
    <row r="425" spans="1:14" x14ac:dyDescent="0.3">
      <c r="A425" t="s">
        <v>86</v>
      </c>
      <c r="B425" t="s">
        <v>87</v>
      </c>
      <c r="C425" s="13" t="s">
        <v>821</v>
      </c>
      <c r="D425" t="s">
        <v>14</v>
      </c>
      <c r="E425" t="s">
        <v>25</v>
      </c>
      <c r="F425" t="s">
        <v>40</v>
      </c>
      <c r="G425">
        <v>1</v>
      </c>
      <c r="H425" t="s">
        <v>29</v>
      </c>
      <c r="I425">
        <v>0</v>
      </c>
      <c r="J425">
        <v>16641</v>
      </c>
      <c r="K425" t="s">
        <v>18</v>
      </c>
      <c r="L425" t="s">
        <v>25</v>
      </c>
      <c r="M425">
        <v>72</v>
      </c>
      <c r="N425">
        <f>MONTH(QHSE[[#This Row],[Date]])</f>
        <v>10</v>
      </c>
    </row>
    <row r="426" spans="1:14" x14ac:dyDescent="0.3">
      <c r="A426" t="s">
        <v>88</v>
      </c>
      <c r="B426" t="s">
        <v>89</v>
      </c>
      <c r="C426" s="13" t="s">
        <v>821</v>
      </c>
      <c r="D426" t="s">
        <v>58</v>
      </c>
      <c r="E426" t="s">
        <v>60</v>
      </c>
      <c r="F426" t="s">
        <v>72</v>
      </c>
      <c r="G426">
        <v>1</v>
      </c>
      <c r="H426" t="s">
        <v>29</v>
      </c>
      <c r="I426">
        <v>0</v>
      </c>
      <c r="J426">
        <v>34538</v>
      </c>
      <c r="K426" t="s">
        <v>30</v>
      </c>
      <c r="L426" t="s">
        <v>25</v>
      </c>
      <c r="M426">
        <v>79</v>
      </c>
      <c r="N426">
        <f>MONTH(QHSE[[#This Row],[Date]])</f>
        <v>10</v>
      </c>
    </row>
    <row r="427" spans="1:14" x14ac:dyDescent="0.3">
      <c r="A427" t="s">
        <v>90</v>
      </c>
      <c r="B427" t="s">
        <v>89</v>
      </c>
      <c r="C427" s="13" t="s">
        <v>821</v>
      </c>
      <c r="D427" t="s">
        <v>14</v>
      </c>
      <c r="E427" t="s">
        <v>23</v>
      </c>
      <c r="F427" t="s">
        <v>37</v>
      </c>
      <c r="G427">
        <v>1</v>
      </c>
      <c r="H427" t="s">
        <v>49</v>
      </c>
      <c r="I427">
        <v>0</v>
      </c>
      <c r="J427">
        <v>24524</v>
      </c>
      <c r="K427" t="s">
        <v>30</v>
      </c>
      <c r="L427" t="s">
        <v>23</v>
      </c>
      <c r="M427">
        <v>95</v>
      </c>
      <c r="N427">
        <f>MONTH(QHSE[[#This Row],[Date]])</f>
        <v>10</v>
      </c>
    </row>
    <row r="428" spans="1:14" x14ac:dyDescent="0.3">
      <c r="A428" t="s">
        <v>91</v>
      </c>
      <c r="B428" t="s">
        <v>92</v>
      </c>
      <c r="C428" s="13" t="s">
        <v>821</v>
      </c>
      <c r="D428" t="s">
        <v>58</v>
      </c>
      <c r="E428" t="s">
        <v>60</v>
      </c>
      <c r="F428" t="s">
        <v>40</v>
      </c>
      <c r="G428">
        <v>1</v>
      </c>
      <c r="H428" t="s">
        <v>29</v>
      </c>
      <c r="I428">
        <v>0</v>
      </c>
      <c r="J428">
        <v>45887</v>
      </c>
      <c r="K428" t="s">
        <v>18</v>
      </c>
      <c r="L428" t="s">
        <v>25</v>
      </c>
      <c r="M428">
        <v>94</v>
      </c>
      <c r="N428">
        <f>MONTH(QHSE[[#This Row],[Date]])</f>
        <v>10</v>
      </c>
    </row>
    <row r="429" spans="1:14" x14ac:dyDescent="0.3">
      <c r="A429" t="s">
        <v>93</v>
      </c>
      <c r="B429" t="s">
        <v>94</v>
      </c>
      <c r="C429" s="13" t="s">
        <v>822</v>
      </c>
      <c r="D429" t="s">
        <v>22</v>
      </c>
      <c r="E429" t="s">
        <v>25</v>
      </c>
      <c r="F429" t="s">
        <v>45</v>
      </c>
      <c r="G429">
        <v>1</v>
      </c>
      <c r="H429" t="s">
        <v>29</v>
      </c>
      <c r="I429">
        <v>0</v>
      </c>
      <c r="J429">
        <v>16754</v>
      </c>
      <c r="K429" t="s">
        <v>41</v>
      </c>
      <c r="L429" t="s">
        <v>23</v>
      </c>
      <c r="M429">
        <v>84</v>
      </c>
      <c r="N429">
        <f>MONTH(QHSE[[#This Row],[Date]])</f>
        <v>11</v>
      </c>
    </row>
    <row r="430" spans="1:14" x14ac:dyDescent="0.3">
      <c r="A430" t="s">
        <v>95</v>
      </c>
      <c r="B430" t="s">
        <v>94</v>
      </c>
      <c r="C430" s="13" t="s">
        <v>822</v>
      </c>
      <c r="D430" t="s">
        <v>22</v>
      </c>
      <c r="E430" t="s">
        <v>15</v>
      </c>
      <c r="F430" t="s">
        <v>40</v>
      </c>
      <c r="G430">
        <v>2</v>
      </c>
      <c r="H430" t="s">
        <v>96</v>
      </c>
      <c r="I430">
        <v>0</v>
      </c>
      <c r="J430">
        <v>151410</v>
      </c>
      <c r="K430" t="s">
        <v>18</v>
      </c>
      <c r="L430" t="s">
        <v>46</v>
      </c>
      <c r="M430">
        <v>76</v>
      </c>
      <c r="N430">
        <f>MONTH(QHSE[[#This Row],[Date]])</f>
        <v>11</v>
      </c>
    </row>
    <row r="431" spans="1:14" x14ac:dyDescent="0.3">
      <c r="A431" t="s">
        <v>97</v>
      </c>
      <c r="B431" t="s">
        <v>98</v>
      </c>
      <c r="C431" s="13" t="s">
        <v>822</v>
      </c>
      <c r="D431" t="s">
        <v>14</v>
      </c>
      <c r="E431" t="s">
        <v>23</v>
      </c>
      <c r="F431" t="s">
        <v>40</v>
      </c>
      <c r="G431">
        <v>2</v>
      </c>
      <c r="H431" t="s">
        <v>77</v>
      </c>
      <c r="I431">
        <v>0</v>
      </c>
      <c r="J431">
        <v>169622</v>
      </c>
      <c r="K431" t="s">
        <v>18</v>
      </c>
      <c r="L431" t="s">
        <v>23</v>
      </c>
      <c r="M431">
        <v>81</v>
      </c>
      <c r="N431">
        <f>MONTH(QHSE[[#This Row],[Date]])</f>
        <v>11</v>
      </c>
    </row>
    <row r="432" spans="1:14" x14ac:dyDescent="0.3">
      <c r="A432" t="s">
        <v>99</v>
      </c>
      <c r="B432" t="s">
        <v>98</v>
      </c>
      <c r="C432" s="13" t="s">
        <v>822</v>
      </c>
      <c r="D432" t="s">
        <v>58</v>
      </c>
      <c r="E432" t="s">
        <v>23</v>
      </c>
      <c r="F432" t="s">
        <v>37</v>
      </c>
      <c r="G432">
        <v>1</v>
      </c>
      <c r="H432" t="s">
        <v>53</v>
      </c>
      <c r="I432">
        <v>0</v>
      </c>
      <c r="J432">
        <v>11335</v>
      </c>
      <c r="K432" t="s">
        <v>18</v>
      </c>
      <c r="L432" t="s">
        <v>31</v>
      </c>
      <c r="M432">
        <v>94</v>
      </c>
      <c r="N432">
        <f>MONTH(QHSE[[#This Row],[Date]])</f>
        <v>11</v>
      </c>
    </row>
    <row r="433" spans="1:14" x14ac:dyDescent="0.3">
      <c r="A433" t="s">
        <v>100</v>
      </c>
      <c r="B433" t="s">
        <v>98</v>
      </c>
      <c r="C433" s="13" t="s">
        <v>822</v>
      </c>
      <c r="D433" t="s">
        <v>33</v>
      </c>
      <c r="E433" t="s">
        <v>39</v>
      </c>
      <c r="F433" t="s">
        <v>37</v>
      </c>
      <c r="G433">
        <v>1</v>
      </c>
      <c r="H433" t="s">
        <v>77</v>
      </c>
      <c r="I433">
        <v>0</v>
      </c>
      <c r="J433">
        <v>24547</v>
      </c>
      <c r="K433" t="s">
        <v>101</v>
      </c>
      <c r="L433" t="s">
        <v>19</v>
      </c>
      <c r="M433">
        <v>93</v>
      </c>
      <c r="N433">
        <f>MONTH(QHSE[[#This Row],[Date]])</f>
        <v>11</v>
      </c>
    </row>
    <row r="434" spans="1:14" x14ac:dyDescent="0.3">
      <c r="A434" t="s">
        <v>102</v>
      </c>
      <c r="B434" t="s">
        <v>103</v>
      </c>
      <c r="C434" s="13" t="s">
        <v>822</v>
      </c>
      <c r="D434" t="s">
        <v>27</v>
      </c>
      <c r="E434" t="s">
        <v>39</v>
      </c>
      <c r="F434" t="s">
        <v>28</v>
      </c>
      <c r="G434">
        <v>2</v>
      </c>
      <c r="H434" t="s">
        <v>96</v>
      </c>
      <c r="I434">
        <v>0</v>
      </c>
      <c r="J434">
        <v>196527</v>
      </c>
      <c r="K434" t="s">
        <v>18</v>
      </c>
      <c r="L434" t="s">
        <v>46</v>
      </c>
      <c r="M434">
        <v>83</v>
      </c>
      <c r="N434">
        <f>MONTH(QHSE[[#This Row],[Date]])</f>
        <v>11</v>
      </c>
    </row>
    <row r="435" spans="1:14" x14ac:dyDescent="0.3">
      <c r="A435" t="s">
        <v>104</v>
      </c>
      <c r="B435" t="s">
        <v>103</v>
      </c>
      <c r="C435" s="13" t="s">
        <v>822</v>
      </c>
      <c r="D435" t="s">
        <v>27</v>
      </c>
      <c r="E435" t="s">
        <v>15</v>
      </c>
      <c r="F435" t="s">
        <v>40</v>
      </c>
      <c r="G435">
        <v>1</v>
      </c>
      <c r="H435" t="s">
        <v>53</v>
      </c>
      <c r="I435">
        <v>0</v>
      </c>
      <c r="J435">
        <v>42815</v>
      </c>
      <c r="K435" t="s">
        <v>101</v>
      </c>
      <c r="L435" t="s">
        <v>46</v>
      </c>
      <c r="M435">
        <v>75</v>
      </c>
      <c r="N435">
        <f>MONTH(QHSE[[#This Row],[Date]])</f>
        <v>11</v>
      </c>
    </row>
    <row r="436" spans="1:14" x14ac:dyDescent="0.3">
      <c r="A436" t="s">
        <v>105</v>
      </c>
      <c r="B436" t="s">
        <v>106</v>
      </c>
      <c r="C436" s="13" t="s">
        <v>822</v>
      </c>
      <c r="D436" t="s">
        <v>14</v>
      </c>
      <c r="E436" t="s">
        <v>36</v>
      </c>
      <c r="F436" t="s">
        <v>28</v>
      </c>
      <c r="G436">
        <v>3</v>
      </c>
      <c r="H436" t="s">
        <v>24</v>
      </c>
      <c r="I436">
        <v>0</v>
      </c>
      <c r="J436">
        <v>484871</v>
      </c>
      <c r="K436" t="s">
        <v>41</v>
      </c>
      <c r="L436" t="s">
        <v>31</v>
      </c>
      <c r="M436">
        <v>98</v>
      </c>
      <c r="N436">
        <f>MONTH(QHSE[[#This Row],[Date]])</f>
        <v>11</v>
      </c>
    </row>
    <row r="437" spans="1:14" x14ac:dyDescent="0.3">
      <c r="A437" t="s">
        <v>107</v>
      </c>
      <c r="B437" t="s">
        <v>106</v>
      </c>
      <c r="C437" s="13" t="s">
        <v>822</v>
      </c>
      <c r="D437" t="s">
        <v>22</v>
      </c>
      <c r="E437" t="s">
        <v>23</v>
      </c>
      <c r="F437" t="s">
        <v>28</v>
      </c>
      <c r="G437">
        <v>2</v>
      </c>
      <c r="H437" t="s">
        <v>29</v>
      </c>
      <c r="I437">
        <v>0</v>
      </c>
      <c r="J437">
        <v>209718</v>
      </c>
      <c r="K437" t="s">
        <v>18</v>
      </c>
      <c r="L437" t="s">
        <v>23</v>
      </c>
      <c r="M437">
        <v>71</v>
      </c>
      <c r="N437">
        <f>MONTH(QHSE[[#This Row],[Date]])</f>
        <v>11</v>
      </c>
    </row>
    <row r="438" spans="1:14" x14ac:dyDescent="0.3">
      <c r="A438" t="s">
        <v>108</v>
      </c>
      <c r="B438" t="s">
        <v>109</v>
      </c>
      <c r="C438" s="13" t="s">
        <v>822</v>
      </c>
      <c r="D438" t="s">
        <v>33</v>
      </c>
      <c r="E438" t="s">
        <v>15</v>
      </c>
      <c r="F438" t="s">
        <v>45</v>
      </c>
      <c r="G438">
        <v>1</v>
      </c>
      <c r="H438" t="s">
        <v>96</v>
      </c>
      <c r="I438">
        <v>0</v>
      </c>
      <c r="J438">
        <v>48710</v>
      </c>
      <c r="K438" t="s">
        <v>18</v>
      </c>
      <c r="L438" t="s">
        <v>19</v>
      </c>
      <c r="M438">
        <v>98</v>
      </c>
      <c r="N438">
        <f>MONTH(QHSE[[#This Row],[Date]])</f>
        <v>11</v>
      </c>
    </row>
    <row r="439" spans="1:14" x14ac:dyDescent="0.3">
      <c r="A439" t="s">
        <v>110</v>
      </c>
      <c r="B439" t="s">
        <v>111</v>
      </c>
      <c r="C439" s="13" t="s">
        <v>822</v>
      </c>
      <c r="D439" t="s">
        <v>58</v>
      </c>
      <c r="E439" t="s">
        <v>39</v>
      </c>
      <c r="F439" t="s">
        <v>28</v>
      </c>
      <c r="G439">
        <v>2</v>
      </c>
      <c r="H439" t="s">
        <v>24</v>
      </c>
      <c r="I439">
        <v>0</v>
      </c>
      <c r="J439">
        <v>221374</v>
      </c>
      <c r="K439" t="s">
        <v>41</v>
      </c>
      <c r="L439" t="s">
        <v>23</v>
      </c>
      <c r="M439">
        <v>84</v>
      </c>
      <c r="N439">
        <f>MONTH(QHSE[[#This Row],[Date]])</f>
        <v>11</v>
      </c>
    </row>
    <row r="440" spans="1:14" x14ac:dyDescent="0.3">
      <c r="A440" t="s">
        <v>112</v>
      </c>
      <c r="B440" t="s">
        <v>111</v>
      </c>
      <c r="C440" s="13" t="s">
        <v>822</v>
      </c>
      <c r="D440" t="s">
        <v>27</v>
      </c>
      <c r="E440" t="s">
        <v>39</v>
      </c>
      <c r="F440" t="s">
        <v>72</v>
      </c>
      <c r="G440">
        <v>1</v>
      </c>
      <c r="H440" t="s">
        <v>29</v>
      </c>
      <c r="I440">
        <v>0</v>
      </c>
      <c r="J440">
        <v>14705</v>
      </c>
      <c r="K440" t="s">
        <v>18</v>
      </c>
      <c r="L440" t="s">
        <v>25</v>
      </c>
      <c r="M440">
        <v>88</v>
      </c>
      <c r="N440">
        <f>MONTH(QHSE[[#This Row],[Date]])</f>
        <v>11</v>
      </c>
    </row>
    <row r="441" spans="1:14" x14ac:dyDescent="0.3">
      <c r="A441" t="s">
        <v>113</v>
      </c>
      <c r="B441" t="s">
        <v>111</v>
      </c>
      <c r="C441" s="13" t="s">
        <v>822</v>
      </c>
      <c r="D441" t="s">
        <v>14</v>
      </c>
      <c r="E441" t="s">
        <v>23</v>
      </c>
      <c r="F441" t="s">
        <v>16</v>
      </c>
      <c r="G441">
        <v>2</v>
      </c>
      <c r="H441" t="s">
        <v>49</v>
      </c>
      <c r="I441">
        <v>12</v>
      </c>
      <c r="J441">
        <v>197946</v>
      </c>
      <c r="K441" t="s">
        <v>41</v>
      </c>
      <c r="L441" t="s">
        <v>23</v>
      </c>
      <c r="M441">
        <v>74</v>
      </c>
      <c r="N441">
        <f>MONTH(QHSE[[#This Row],[Date]])</f>
        <v>11</v>
      </c>
    </row>
    <row r="442" spans="1:14" x14ac:dyDescent="0.3">
      <c r="A442" t="s">
        <v>114</v>
      </c>
      <c r="B442" t="s">
        <v>115</v>
      </c>
      <c r="C442" s="13" t="s">
        <v>822</v>
      </c>
      <c r="D442" t="s">
        <v>14</v>
      </c>
      <c r="E442" t="s">
        <v>60</v>
      </c>
      <c r="F442" t="s">
        <v>40</v>
      </c>
      <c r="G442">
        <v>1</v>
      </c>
      <c r="H442" t="s">
        <v>17</v>
      </c>
      <c r="I442">
        <v>0</v>
      </c>
      <c r="J442">
        <v>22786</v>
      </c>
      <c r="K442" t="s">
        <v>101</v>
      </c>
      <c r="L442" t="s">
        <v>46</v>
      </c>
      <c r="M442">
        <v>96</v>
      </c>
      <c r="N442">
        <f>MONTH(QHSE[[#This Row],[Date]])</f>
        <v>11</v>
      </c>
    </row>
    <row r="443" spans="1:14" x14ac:dyDescent="0.3">
      <c r="A443" t="s">
        <v>116</v>
      </c>
      <c r="B443" t="s">
        <v>115</v>
      </c>
      <c r="C443" s="13" t="s">
        <v>822</v>
      </c>
      <c r="D443" t="s">
        <v>22</v>
      </c>
      <c r="E443" t="s">
        <v>25</v>
      </c>
      <c r="F443" t="s">
        <v>37</v>
      </c>
      <c r="G443">
        <v>2</v>
      </c>
      <c r="H443" t="s">
        <v>96</v>
      </c>
      <c r="I443">
        <v>0</v>
      </c>
      <c r="J443">
        <v>247683</v>
      </c>
      <c r="K443" t="s">
        <v>18</v>
      </c>
      <c r="L443" t="s">
        <v>19</v>
      </c>
      <c r="M443">
        <v>79</v>
      </c>
      <c r="N443">
        <f>MONTH(QHSE[[#This Row],[Date]])</f>
        <v>11</v>
      </c>
    </row>
    <row r="444" spans="1:14" x14ac:dyDescent="0.3">
      <c r="A444" t="s">
        <v>117</v>
      </c>
      <c r="B444" t="s">
        <v>118</v>
      </c>
      <c r="C444" s="13" t="s">
        <v>822</v>
      </c>
      <c r="D444" t="s">
        <v>58</v>
      </c>
      <c r="E444" t="s">
        <v>39</v>
      </c>
      <c r="F444" t="s">
        <v>72</v>
      </c>
      <c r="G444">
        <v>2</v>
      </c>
      <c r="H444" t="s">
        <v>49</v>
      </c>
      <c r="I444">
        <v>0</v>
      </c>
      <c r="J444">
        <v>147071</v>
      </c>
      <c r="K444" t="s">
        <v>18</v>
      </c>
      <c r="L444" t="s">
        <v>23</v>
      </c>
      <c r="M444">
        <v>84</v>
      </c>
      <c r="N444">
        <f>MONTH(QHSE[[#This Row],[Date]])</f>
        <v>11</v>
      </c>
    </row>
    <row r="445" spans="1:14" x14ac:dyDescent="0.3">
      <c r="A445" t="s">
        <v>119</v>
      </c>
      <c r="B445" t="s">
        <v>120</v>
      </c>
      <c r="C445" s="13" t="s">
        <v>822</v>
      </c>
      <c r="D445" t="s">
        <v>27</v>
      </c>
      <c r="E445" t="s">
        <v>36</v>
      </c>
      <c r="F445" t="s">
        <v>40</v>
      </c>
      <c r="G445">
        <v>2</v>
      </c>
      <c r="H445" t="s">
        <v>96</v>
      </c>
      <c r="I445">
        <v>0</v>
      </c>
      <c r="J445">
        <v>74486</v>
      </c>
      <c r="K445" t="s">
        <v>101</v>
      </c>
      <c r="L445" t="s">
        <v>19</v>
      </c>
      <c r="M445">
        <v>67</v>
      </c>
      <c r="N445">
        <f>MONTH(QHSE[[#This Row],[Date]])</f>
        <v>11</v>
      </c>
    </row>
    <row r="446" spans="1:14" x14ac:dyDescent="0.3">
      <c r="A446" t="s">
        <v>121</v>
      </c>
      <c r="B446" t="s">
        <v>120</v>
      </c>
      <c r="C446" s="13" t="s">
        <v>822</v>
      </c>
      <c r="D446" t="s">
        <v>58</v>
      </c>
      <c r="E446" t="s">
        <v>36</v>
      </c>
      <c r="F446" t="s">
        <v>40</v>
      </c>
      <c r="G446">
        <v>1</v>
      </c>
      <c r="H446" t="s">
        <v>96</v>
      </c>
      <c r="I446">
        <v>0</v>
      </c>
      <c r="J446">
        <v>39007</v>
      </c>
      <c r="K446" t="s">
        <v>30</v>
      </c>
      <c r="L446" t="s">
        <v>19</v>
      </c>
      <c r="M446">
        <v>72</v>
      </c>
      <c r="N446">
        <f>MONTH(QHSE[[#This Row],[Date]])</f>
        <v>11</v>
      </c>
    </row>
    <row r="447" spans="1:14" x14ac:dyDescent="0.3">
      <c r="A447" t="s">
        <v>122</v>
      </c>
      <c r="B447" t="s">
        <v>123</v>
      </c>
      <c r="C447" s="13" t="s">
        <v>822</v>
      </c>
      <c r="D447" t="s">
        <v>22</v>
      </c>
      <c r="E447" t="s">
        <v>39</v>
      </c>
      <c r="F447" t="s">
        <v>40</v>
      </c>
      <c r="G447">
        <v>1</v>
      </c>
      <c r="H447" t="s">
        <v>49</v>
      </c>
      <c r="I447">
        <v>0</v>
      </c>
      <c r="J447">
        <v>22920</v>
      </c>
      <c r="K447" t="s">
        <v>18</v>
      </c>
      <c r="L447" t="s">
        <v>25</v>
      </c>
      <c r="M447">
        <v>87</v>
      </c>
      <c r="N447">
        <f>MONTH(QHSE[[#This Row],[Date]])</f>
        <v>11</v>
      </c>
    </row>
    <row r="448" spans="1:14" x14ac:dyDescent="0.3">
      <c r="A448" t="s">
        <v>124</v>
      </c>
      <c r="B448" t="s">
        <v>125</v>
      </c>
      <c r="C448" s="13" t="s">
        <v>822</v>
      </c>
      <c r="D448" t="s">
        <v>58</v>
      </c>
      <c r="E448" t="s">
        <v>60</v>
      </c>
      <c r="F448" t="s">
        <v>40</v>
      </c>
      <c r="G448">
        <v>2</v>
      </c>
      <c r="H448" t="s">
        <v>53</v>
      </c>
      <c r="I448">
        <v>0</v>
      </c>
      <c r="J448">
        <v>249415</v>
      </c>
      <c r="K448" t="s">
        <v>18</v>
      </c>
      <c r="L448" t="s">
        <v>25</v>
      </c>
      <c r="M448">
        <v>75</v>
      </c>
      <c r="N448">
        <f>MONTH(QHSE[[#This Row],[Date]])</f>
        <v>11</v>
      </c>
    </row>
    <row r="449" spans="1:14" x14ac:dyDescent="0.3">
      <c r="A449" t="s">
        <v>126</v>
      </c>
      <c r="B449" t="s">
        <v>127</v>
      </c>
      <c r="C449" s="13" t="s">
        <v>822</v>
      </c>
      <c r="D449" t="s">
        <v>27</v>
      </c>
      <c r="E449" t="s">
        <v>60</v>
      </c>
      <c r="F449" t="s">
        <v>72</v>
      </c>
      <c r="G449">
        <v>2</v>
      </c>
      <c r="H449" t="s">
        <v>77</v>
      </c>
      <c r="I449">
        <v>0</v>
      </c>
      <c r="J449">
        <v>245956</v>
      </c>
      <c r="K449" t="s">
        <v>18</v>
      </c>
      <c r="L449" t="s">
        <v>46</v>
      </c>
      <c r="M449">
        <v>72</v>
      </c>
      <c r="N449">
        <f>MONTH(QHSE[[#This Row],[Date]])</f>
        <v>11</v>
      </c>
    </row>
    <row r="450" spans="1:14" x14ac:dyDescent="0.3">
      <c r="A450" t="s">
        <v>128</v>
      </c>
      <c r="B450" t="s">
        <v>127</v>
      </c>
      <c r="C450" s="13" t="s">
        <v>822</v>
      </c>
      <c r="D450" t="s">
        <v>22</v>
      </c>
      <c r="E450" t="s">
        <v>15</v>
      </c>
      <c r="F450" t="s">
        <v>72</v>
      </c>
      <c r="G450">
        <v>2</v>
      </c>
      <c r="H450" t="s">
        <v>29</v>
      </c>
      <c r="I450">
        <v>0</v>
      </c>
      <c r="J450">
        <v>181226</v>
      </c>
      <c r="K450" t="s">
        <v>101</v>
      </c>
      <c r="L450" t="s">
        <v>31</v>
      </c>
      <c r="M450">
        <v>93</v>
      </c>
      <c r="N450">
        <f>MONTH(QHSE[[#This Row],[Date]])</f>
        <v>11</v>
      </c>
    </row>
    <row r="451" spans="1:14" x14ac:dyDescent="0.3">
      <c r="A451" t="s">
        <v>129</v>
      </c>
      <c r="B451" t="s">
        <v>130</v>
      </c>
      <c r="C451" s="13" t="s">
        <v>822</v>
      </c>
      <c r="D451" t="s">
        <v>58</v>
      </c>
      <c r="E451" t="s">
        <v>36</v>
      </c>
      <c r="F451" t="s">
        <v>37</v>
      </c>
      <c r="G451">
        <v>2</v>
      </c>
      <c r="H451" t="s">
        <v>96</v>
      </c>
      <c r="I451">
        <v>0</v>
      </c>
      <c r="J451">
        <v>75965</v>
      </c>
      <c r="K451" t="s">
        <v>41</v>
      </c>
      <c r="L451" t="s">
        <v>19</v>
      </c>
      <c r="M451">
        <v>94</v>
      </c>
      <c r="N451">
        <f>MONTH(QHSE[[#This Row],[Date]])</f>
        <v>11</v>
      </c>
    </row>
    <row r="452" spans="1:14" x14ac:dyDescent="0.3">
      <c r="A452" t="s">
        <v>131</v>
      </c>
      <c r="B452" t="s">
        <v>130</v>
      </c>
      <c r="C452" s="13" t="s">
        <v>822</v>
      </c>
      <c r="D452" t="s">
        <v>22</v>
      </c>
      <c r="E452" t="s">
        <v>15</v>
      </c>
      <c r="F452" t="s">
        <v>16</v>
      </c>
      <c r="G452">
        <v>3</v>
      </c>
      <c r="H452" t="s">
        <v>29</v>
      </c>
      <c r="I452">
        <v>9</v>
      </c>
      <c r="J452">
        <v>765145</v>
      </c>
      <c r="K452" t="s">
        <v>30</v>
      </c>
      <c r="L452" t="s">
        <v>31</v>
      </c>
      <c r="M452">
        <v>74</v>
      </c>
      <c r="N452">
        <f>MONTH(QHSE[[#This Row],[Date]])</f>
        <v>11</v>
      </c>
    </row>
    <row r="453" spans="1:14" x14ac:dyDescent="0.3">
      <c r="A453" t="s">
        <v>132</v>
      </c>
      <c r="B453" t="s">
        <v>133</v>
      </c>
      <c r="C453" s="13" t="s">
        <v>822</v>
      </c>
      <c r="D453" t="s">
        <v>22</v>
      </c>
      <c r="E453" t="s">
        <v>36</v>
      </c>
      <c r="F453" t="s">
        <v>28</v>
      </c>
      <c r="G453">
        <v>3</v>
      </c>
      <c r="H453" t="s">
        <v>17</v>
      </c>
      <c r="I453">
        <v>0</v>
      </c>
      <c r="J453">
        <v>319772</v>
      </c>
      <c r="K453" t="s">
        <v>18</v>
      </c>
      <c r="L453" t="s">
        <v>46</v>
      </c>
      <c r="M453">
        <v>92</v>
      </c>
      <c r="N453">
        <f>MONTH(QHSE[[#This Row],[Date]])</f>
        <v>11</v>
      </c>
    </row>
    <row r="454" spans="1:14" x14ac:dyDescent="0.3">
      <c r="A454" t="s">
        <v>134</v>
      </c>
      <c r="B454" t="s">
        <v>133</v>
      </c>
      <c r="C454" s="13" t="s">
        <v>822</v>
      </c>
      <c r="D454" t="s">
        <v>33</v>
      </c>
      <c r="E454" t="s">
        <v>25</v>
      </c>
      <c r="F454" t="s">
        <v>40</v>
      </c>
      <c r="G454">
        <v>1</v>
      </c>
      <c r="H454" t="s">
        <v>49</v>
      </c>
      <c r="I454">
        <v>0</v>
      </c>
      <c r="J454">
        <v>11174</v>
      </c>
      <c r="K454" t="s">
        <v>18</v>
      </c>
      <c r="L454" t="s">
        <v>19</v>
      </c>
      <c r="M454">
        <v>77</v>
      </c>
      <c r="N454">
        <f>MONTH(QHSE[[#This Row],[Date]])</f>
        <v>11</v>
      </c>
    </row>
    <row r="455" spans="1:14" x14ac:dyDescent="0.3">
      <c r="A455" t="s">
        <v>135</v>
      </c>
      <c r="B455" t="s">
        <v>136</v>
      </c>
      <c r="C455" s="13" t="s">
        <v>822</v>
      </c>
      <c r="D455" t="s">
        <v>33</v>
      </c>
      <c r="E455" t="s">
        <v>25</v>
      </c>
      <c r="F455" t="s">
        <v>45</v>
      </c>
      <c r="G455">
        <v>1</v>
      </c>
      <c r="H455" t="s">
        <v>29</v>
      </c>
      <c r="I455">
        <v>0</v>
      </c>
      <c r="J455">
        <v>42918</v>
      </c>
      <c r="K455" t="s">
        <v>41</v>
      </c>
      <c r="L455" t="s">
        <v>19</v>
      </c>
      <c r="M455">
        <v>96</v>
      </c>
      <c r="N455">
        <f>MONTH(QHSE[[#This Row],[Date]])</f>
        <v>11</v>
      </c>
    </row>
    <row r="456" spans="1:14" x14ac:dyDescent="0.3">
      <c r="A456" t="s">
        <v>137</v>
      </c>
      <c r="B456" t="s">
        <v>138</v>
      </c>
      <c r="C456" s="13" t="s">
        <v>822</v>
      </c>
      <c r="D456" t="s">
        <v>27</v>
      </c>
      <c r="E456" t="s">
        <v>23</v>
      </c>
      <c r="F456" t="s">
        <v>16</v>
      </c>
      <c r="G456">
        <v>2</v>
      </c>
      <c r="H456" t="s">
        <v>49</v>
      </c>
      <c r="I456">
        <v>13</v>
      </c>
      <c r="J456">
        <v>91950</v>
      </c>
      <c r="K456" t="s">
        <v>18</v>
      </c>
      <c r="L456" t="s">
        <v>31</v>
      </c>
      <c r="M456">
        <v>90</v>
      </c>
      <c r="N456">
        <f>MONTH(QHSE[[#This Row],[Date]])</f>
        <v>11</v>
      </c>
    </row>
    <row r="457" spans="1:14" x14ac:dyDescent="0.3">
      <c r="A457" t="s">
        <v>139</v>
      </c>
      <c r="B457" t="s">
        <v>138</v>
      </c>
      <c r="C457" s="13" t="s">
        <v>822</v>
      </c>
      <c r="D457" t="s">
        <v>14</v>
      </c>
      <c r="E457" t="s">
        <v>15</v>
      </c>
      <c r="F457" t="s">
        <v>45</v>
      </c>
      <c r="G457">
        <v>2</v>
      </c>
      <c r="H457" t="s">
        <v>29</v>
      </c>
      <c r="I457">
        <v>0</v>
      </c>
      <c r="J457">
        <v>125805</v>
      </c>
      <c r="K457" t="s">
        <v>18</v>
      </c>
      <c r="L457" t="s">
        <v>23</v>
      </c>
      <c r="M457">
        <v>86</v>
      </c>
      <c r="N457">
        <f>MONTH(QHSE[[#This Row],[Date]])</f>
        <v>11</v>
      </c>
    </row>
    <row r="458" spans="1:14" x14ac:dyDescent="0.3">
      <c r="A458" t="s">
        <v>140</v>
      </c>
      <c r="B458" t="s">
        <v>138</v>
      </c>
      <c r="C458" s="13" t="s">
        <v>822</v>
      </c>
      <c r="D458" t="s">
        <v>27</v>
      </c>
      <c r="E458" t="s">
        <v>39</v>
      </c>
      <c r="F458" t="s">
        <v>37</v>
      </c>
      <c r="G458">
        <v>2</v>
      </c>
      <c r="H458" t="s">
        <v>77</v>
      </c>
      <c r="I458">
        <v>0</v>
      </c>
      <c r="J458">
        <v>244691</v>
      </c>
      <c r="K458" t="s">
        <v>18</v>
      </c>
      <c r="L458" t="s">
        <v>25</v>
      </c>
      <c r="M458">
        <v>68</v>
      </c>
      <c r="N458">
        <f>MONTH(QHSE[[#This Row],[Date]])</f>
        <v>11</v>
      </c>
    </row>
    <row r="459" spans="1:14" x14ac:dyDescent="0.3">
      <c r="A459" t="s">
        <v>141</v>
      </c>
      <c r="B459" t="s">
        <v>142</v>
      </c>
      <c r="C459" s="13" t="s">
        <v>822</v>
      </c>
      <c r="D459" t="s">
        <v>22</v>
      </c>
      <c r="E459" t="s">
        <v>15</v>
      </c>
      <c r="F459" t="s">
        <v>37</v>
      </c>
      <c r="G459">
        <v>2</v>
      </c>
      <c r="H459" t="s">
        <v>77</v>
      </c>
      <c r="I459">
        <v>0</v>
      </c>
      <c r="J459">
        <v>117368</v>
      </c>
      <c r="K459" t="s">
        <v>30</v>
      </c>
      <c r="L459" t="s">
        <v>23</v>
      </c>
      <c r="M459">
        <v>95</v>
      </c>
      <c r="N459">
        <f>MONTH(QHSE[[#This Row],[Date]])</f>
        <v>11</v>
      </c>
    </row>
    <row r="460" spans="1:14" x14ac:dyDescent="0.3">
      <c r="A460" t="s">
        <v>143</v>
      </c>
      <c r="B460" t="s">
        <v>142</v>
      </c>
      <c r="C460" s="13" t="s">
        <v>822</v>
      </c>
      <c r="D460" t="s">
        <v>22</v>
      </c>
      <c r="E460" t="s">
        <v>39</v>
      </c>
      <c r="F460" t="s">
        <v>37</v>
      </c>
      <c r="G460">
        <v>2</v>
      </c>
      <c r="H460" t="s">
        <v>77</v>
      </c>
      <c r="I460">
        <v>0</v>
      </c>
      <c r="J460">
        <v>109297</v>
      </c>
      <c r="K460" t="s">
        <v>101</v>
      </c>
      <c r="L460" t="s">
        <v>31</v>
      </c>
      <c r="M460">
        <v>82</v>
      </c>
      <c r="N460">
        <f>MONTH(QHSE[[#This Row],[Date]])</f>
        <v>11</v>
      </c>
    </row>
    <row r="461" spans="1:14" x14ac:dyDescent="0.3">
      <c r="A461" t="s">
        <v>144</v>
      </c>
      <c r="B461" t="s">
        <v>145</v>
      </c>
      <c r="C461" s="13" t="s">
        <v>822</v>
      </c>
      <c r="D461" t="s">
        <v>14</v>
      </c>
      <c r="E461" t="s">
        <v>60</v>
      </c>
      <c r="F461" t="s">
        <v>40</v>
      </c>
      <c r="G461">
        <v>2</v>
      </c>
      <c r="H461" t="s">
        <v>77</v>
      </c>
      <c r="I461">
        <v>0</v>
      </c>
      <c r="J461">
        <v>233641</v>
      </c>
      <c r="K461" t="s">
        <v>18</v>
      </c>
      <c r="L461" t="s">
        <v>25</v>
      </c>
      <c r="M461">
        <v>88</v>
      </c>
      <c r="N461">
        <f>MONTH(QHSE[[#This Row],[Date]])</f>
        <v>11</v>
      </c>
    </row>
    <row r="462" spans="1:14" x14ac:dyDescent="0.3">
      <c r="A462" t="s">
        <v>146</v>
      </c>
      <c r="B462" t="s">
        <v>145</v>
      </c>
      <c r="C462" s="13" t="s">
        <v>822</v>
      </c>
      <c r="D462" t="s">
        <v>14</v>
      </c>
      <c r="E462" t="s">
        <v>15</v>
      </c>
      <c r="F462" t="s">
        <v>45</v>
      </c>
      <c r="G462">
        <v>2</v>
      </c>
      <c r="H462" t="s">
        <v>77</v>
      </c>
      <c r="I462">
        <v>0</v>
      </c>
      <c r="J462">
        <v>72149</v>
      </c>
      <c r="K462" t="s">
        <v>18</v>
      </c>
      <c r="L462" t="s">
        <v>23</v>
      </c>
      <c r="M462">
        <v>87</v>
      </c>
      <c r="N462">
        <f>MONTH(QHSE[[#This Row],[Date]])</f>
        <v>11</v>
      </c>
    </row>
    <row r="463" spans="1:14" x14ac:dyDescent="0.3">
      <c r="A463" t="s">
        <v>147</v>
      </c>
      <c r="B463" t="s">
        <v>145</v>
      </c>
      <c r="C463" s="13" t="s">
        <v>822</v>
      </c>
      <c r="D463" t="s">
        <v>14</v>
      </c>
      <c r="E463" t="s">
        <v>60</v>
      </c>
      <c r="F463" t="s">
        <v>16</v>
      </c>
      <c r="G463">
        <v>2</v>
      </c>
      <c r="H463" t="s">
        <v>77</v>
      </c>
      <c r="I463">
        <v>9</v>
      </c>
      <c r="J463">
        <v>201916</v>
      </c>
      <c r="K463" t="s">
        <v>30</v>
      </c>
      <c r="L463" t="s">
        <v>25</v>
      </c>
      <c r="M463">
        <v>86</v>
      </c>
      <c r="N463">
        <f>MONTH(QHSE[[#This Row],[Date]])</f>
        <v>11</v>
      </c>
    </row>
    <row r="464" spans="1:14" x14ac:dyDescent="0.3">
      <c r="A464" t="s">
        <v>148</v>
      </c>
      <c r="B464" t="s">
        <v>145</v>
      </c>
      <c r="C464" s="13" t="s">
        <v>822</v>
      </c>
      <c r="D464" t="s">
        <v>14</v>
      </c>
      <c r="E464" t="s">
        <v>25</v>
      </c>
      <c r="F464" t="s">
        <v>16</v>
      </c>
      <c r="G464">
        <v>2</v>
      </c>
      <c r="H464" t="s">
        <v>49</v>
      </c>
      <c r="I464">
        <v>1</v>
      </c>
      <c r="J464">
        <v>247613</v>
      </c>
      <c r="K464" t="s">
        <v>101</v>
      </c>
      <c r="L464" t="s">
        <v>19</v>
      </c>
      <c r="M464">
        <v>66</v>
      </c>
      <c r="N464">
        <f>MONTH(QHSE[[#This Row],[Date]])</f>
        <v>11</v>
      </c>
    </row>
    <row r="465" spans="1:14" x14ac:dyDescent="0.3">
      <c r="A465" t="s">
        <v>149</v>
      </c>
      <c r="B465" t="s">
        <v>150</v>
      </c>
      <c r="C465" s="13" t="s">
        <v>822</v>
      </c>
      <c r="D465" t="s">
        <v>22</v>
      </c>
      <c r="E465" t="s">
        <v>25</v>
      </c>
      <c r="F465" t="s">
        <v>72</v>
      </c>
      <c r="G465">
        <v>2</v>
      </c>
      <c r="H465" t="s">
        <v>96</v>
      </c>
      <c r="I465">
        <v>0</v>
      </c>
      <c r="J465">
        <v>230259</v>
      </c>
      <c r="K465" t="s">
        <v>18</v>
      </c>
      <c r="L465" t="s">
        <v>23</v>
      </c>
      <c r="M465">
        <v>95</v>
      </c>
      <c r="N465">
        <f>MONTH(QHSE[[#This Row],[Date]])</f>
        <v>11</v>
      </c>
    </row>
    <row r="466" spans="1:14" x14ac:dyDescent="0.3">
      <c r="A466" t="s">
        <v>151</v>
      </c>
      <c r="B466" t="s">
        <v>150</v>
      </c>
      <c r="C466" s="13" t="s">
        <v>822</v>
      </c>
      <c r="D466" t="s">
        <v>27</v>
      </c>
      <c r="E466" t="s">
        <v>23</v>
      </c>
      <c r="F466" t="s">
        <v>72</v>
      </c>
      <c r="G466">
        <v>1</v>
      </c>
      <c r="H466" t="s">
        <v>29</v>
      </c>
      <c r="I466">
        <v>0</v>
      </c>
      <c r="J466">
        <v>36066</v>
      </c>
      <c r="K466" t="s">
        <v>18</v>
      </c>
      <c r="L466" t="s">
        <v>25</v>
      </c>
      <c r="M466">
        <v>75</v>
      </c>
      <c r="N466">
        <f>MONTH(QHSE[[#This Row],[Date]])</f>
        <v>11</v>
      </c>
    </row>
    <row r="467" spans="1:14" x14ac:dyDescent="0.3">
      <c r="A467" t="s">
        <v>152</v>
      </c>
      <c r="B467" t="s">
        <v>150</v>
      </c>
      <c r="C467" s="13" t="s">
        <v>822</v>
      </c>
      <c r="D467" t="s">
        <v>22</v>
      </c>
      <c r="E467" t="s">
        <v>15</v>
      </c>
      <c r="F467" t="s">
        <v>40</v>
      </c>
      <c r="G467">
        <v>2</v>
      </c>
      <c r="H467" t="s">
        <v>77</v>
      </c>
      <c r="I467">
        <v>0</v>
      </c>
      <c r="J467">
        <v>112812</v>
      </c>
      <c r="K467" t="s">
        <v>18</v>
      </c>
      <c r="L467" t="s">
        <v>25</v>
      </c>
      <c r="M467">
        <v>92</v>
      </c>
      <c r="N467">
        <f>MONTH(QHSE[[#This Row],[Date]])</f>
        <v>11</v>
      </c>
    </row>
    <row r="468" spans="1:14" x14ac:dyDescent="0.3">
      <c r="A468" t="s">
        <v>153</v>
      </c>
      <c r="B468" t="s">
        <v>150</v>
      </c>
      <c r="C468" s="13" t="s">
        <v>822</v>
      </c>
      <c r="D468" t="s">
        <v>27</v>
      </c>
      <c r="E468" t="s">
        <v>60</v>
      </c>
      <c r="F468" t="s">
        <v>72</v>
      </c>
      <c r="G468">
        <v>1</v>
      </c>
      <c r="H468" t="s">
        <v>49</v>
      </c>
      <c r="I468">
        <v>0</v>
      </c>
      <c r="J468">
        <v>20172</v>
      </c>
      <c r="K468" t="s">
        <v>41</v>
      </c>
      <c r="L468" t="s">
        <v>25</v>
      </c>
      <c r="M468">
        <v>96</v>
      </c>
      <c r="N468">
        <f>MONTH(QHSE[[#This Row],[Date]])</f>
        <v>11</v>
      </c>
    </row>
    <row r="469" spans="1:14" x14ac:dyDescent="0.3">
      <c r="A469" t="s">
        <v>154</v>
      </c>
      <c r="B469" t="s">
        <v>150</v>
      </c>
      <c r="C469" s="13" t="s">
        <v>822</v>
      </c>
      <c r="D469" t="s">
        <v>27</v>
      </c>
      <c r="E469" t="s">
        <v>39</v>
      </c>
      <c r="F469" t="s">
        <v>37</v>
      </c>
      <c r="G469">
        <v>2</v>
      </c>
      <c r="H469" t="s">
        <v>49</v>
      </c>
      <c r="I469">
        <v>0</v>
      </c>
      <c r="J469">
        <v>213851</v>
      </c>
      <c r="K469" t="s">
        <v>18</v>
      </c>
      <c r="L469" t="s">
        <v>23</v>
      </c>
      <c r="M469">
        <v>69</v>
      </c>
      <c r="N469">
        <f>MONTH(QHSE[[#This Row],[Date]])</f>
        <v>11</v>
      </c>
    </row>
    <row r="470" spans="1:14" x14ac:dyDescent="0.3">
      <c r="A470" t="s">
        <v>155</v>
      </c>
      <c r="B470" t="s">
        <v>156</v>
      </c>
      <c r="C470" s="13" t="s">
        <v>822</v>
      </c>
      <c r="D470" t="s">
        <v>58</v>
      </c>
      <c r="E470" t="s">
        <v>25</v>
      </c>
      <c r="F470" t="s">
        <v>16</v>
      </c>
      <c r="G470">
        <v>2</v>
      </c>
      <c r="H470" t="s">
        <v>49</v>
      </c>
      <c r="I470">
        <v>2</v>
      </c>
      <c r="J470">
        <v>225964</v>
      </c>
      <c r="K470" t="s">
        <v>18</v>
      </c>
      <c r="L470" t="s">
        <v>46</v>
      </c>
      <c r="M470">
        <v>74</v>
      </c>
      <c r="N470">
        <f>MONTH(QHSE[[#This Row],[Date]])</f>
        <v>11</v>
      </c>
    </row>
    <row r="471" spans="1:14" x14ac:dyDescent="0.3">
      <c r="A471" t="s">
        <v>157</v>
      </c>
      <c r="B471" t="s">
        <v>158</v>
      </c>
      <c r="C471" s="13" t="s">
        <v>822</v>
      </c>
      <c r="D471" t="s">
        <v>27</v>
      </c>
      <c r="E471" t="s">
        <v>25</v>
      </c>
      <c r="F471" t="s">
        <v>45</v>
      </c>
      <c r="G471">
        <v>1</v>
      </c>
      <c r="H471" t="s">
        <v>96</v>
      </c>
      <c r="I471">
        <v>0</v>
      </c>
      <c r="J471">
        <v>31017</v>
      </c>
      <c r="K471" t="s">
        <v>30</v>
      </c>
      <c r="L471" t="s">
        <v>23</v>
      </c>
      <c r="M471">
        <v>88</v>
      </c>
      <c r="N471">
        <f>MONTH(QHSE[[#This Row],[Date]])</f>
        <v>11</v>
      </c>
    </row>
    <row r="472" spans="1:14" x14ac:dyDescent="0.3">
      <c r="A472" t="s">
        <v>159</v>
      </c>
      <c r="B472" t="s">
        <v>158</v>
      </c>
      <c r="C472" s="13" t="s">
        <v>822</v>
      </c>
      <c r="D472" t="s">
        <v>22</v>
      </c>
      <c r="E472" t="s">
        <v>39</v>
      </c>
      <c r="F472" t="s">
        <v>37</v>
      </c>
      <c r="G472">
        <v>2</v>
      </c>
      <c r="H472" t="s">
        <v>29</v>
      </c>
      <c r="I472">
        <v>0</v>
      </c>
      <c r="J472">
        <v>98867</v>
      </c>
      <c r="K472" t="s">
        <v>30</v>
      </c>
      <c r="L472" t="s">
        <v>31</v>
      </c>
      <c r="M472">
        <v>99</v>
      </c>
      <c r="N472">
        <f>MONTH(QHSE[[#This Row],[Date]])</f>
        <v>11</v>
      </c>
    </row>
    <row r="473" spans="1:14" x14ac:dyDescent="0.3">
      <c r="A473" t="s">
        <v>160</v>
      </c>
      <c r="B473" t="s">
        <v>158</v>
      </c>
      <c r="C473" s="13" t="s">
        <v>822</v>
      </c>
      <c r="D473" t="s">
        <v>22</v>
      </c>
      <c r="E473" t="s">
        <v>60</v>
      </c>
      <c r="F473" t="s">
        <v>40</v>
      </c>
      <c r="G473">
        <v>2</v>
      </c>
      <c r="H473" t="s">
        <v>96</v>
      </c>
      <c r="I473">
        <v>0</v>
      </c>
      <c r="J473">
        <v>72588</v>
      </c>
      <c r="K473" t="s">
        <v>18</v>
      </c>
      <c r="L473" t="s">
        <v>23</v>
      </c>
      <c r="M473">
        <v>87</v>
      </c>
      <c r="N473">
        <f>MONTH(QHSE[[#This Row],[Date]])</f>
        <v>11</v>
      </c>
    </row>
    <row r="474" spans="1:14" x14ac:dyDescent="0.3">
      <c r="A474" t="s">
        <v>161</v>
      </c>
      <c r="B474" t="s">
        <v>158</v>
      </c>
      <c r="C474" s="13" t="s">
        <v>822</v>
      </c>
      <c r="D474" t="s">
        <v>14</v>
      </c>
      <c r="E474" t="s">
        <v>60</v>
      </c>
      <c r="F474" t="s">
        <v>72</v>
      </c>
      <c r="G474">
        <v>3</v>
      </c>
      <c r="H474" t="s">
        <v>53</v>
      </c>
      <c r="I474">
        <v>0</v>
      </c>
      <c r="J474">
        <v>315384</v>
      </c>
      <c r="K474" t="s">
        <v>41</v>
      </c>
      <c r="L474" t="s">
        <v>25</v>
      </c>
      <c r="M474">
        <v>81</v>
      </c>
      <c r="N474">
        <f>MONTH(QHSE[[#This Row],[Date]])</f>
        <v>11</v>
      </c>
    </row>
    <row r="475" spans="1:14" x14ac:dyDescent="0.3">
      <c r="A475" t="s">
        <v>162</v>
      </c>
      <c r="B475" t="s">
        <v>163</v>
      </c>
      <c r="C475" s="13" t="s">
        <v>822</v>
      </c>
      <c r="D475" t="s">
        <v>14</v>
      </c>
      <c r="E475" t="s">
        <v>15</v>
      </c>
      <c r="F475" t="s">
        <v>37</v>
      </c>
      <c r="G475">
        <v>1</v>
      </c>
      <c r="H475" t="s">
        <v>24</v>
      </c>
      <c r="I475">
        <v>0</v>
      </c>
      <c r="J475">
        <v>38763</v>
      </c>
      <c r="K475" t="s">
        <v>18</v>
      </c>
      <c r="L475" t="s">
        <v>19</v>
      </c>
      <c r="M475">
        <v>65</v>
      </c>
      <c r="N475">
        <f>MONTH(QHSE[[#This Row],[Date]])</f>
        <v>11</v>
      </c>
    </row>
    <row r="476" spans="1:14" x14ac:dyDescent="0.3">
      <c r="A476" t="s">
        <v>164</v>
      </c>
      <c r="B476" t="s">
        <v>165</v>
      </c>
      <c r="C476" s="13" t="s">
        <v>822</v>
      </c>
      <c r="D476" t="s">
        <v>22</v>
      </c>
      <c r="E476" t="s">
        <v>15</v>
      </c>
      <c r="F476" t="s">
        <v>37</v>
      </c>
      <c r="G476">
        <v>2</v>
      </c>
      <c r="H476" t="s">
        <v>49</v>
      </c>
      <c r="I476">
        <v>0</v>
      </c>
      <c r="J476">
        <v>134023</v>
      </c>
      <c r="K476" t="s">
        <v>18</v>
      </c>
      <c r="L476" t="s">
        <v>23</v>
      </c>
      <c r="M476">
        <v>95</v>
      </c>
      <c r="N476">
        <f>MONTH(QHSE[[#This Row],[Date]])</f>
        <v>11</v>
      </c>
    </row>
    <row r="477" spans="1:14" x14ac:dyDescent="0.3">
      <c r="A477" t="s">
        <v>166</v>
      </c>
      <c r="B477" t="s">
        <v>165</v>
      </c>
      <c r="C477" s="13" t="s">
        <v>822</v>
      </c>
      <c r="D477" t="s">
        <v>22</v>
      </c>
      <c r="E477" t="s">
        <v>36</v>
      </c>
      <c r="F477" t="s">
        <v>40</v>
      </c>
      <c r="G477">
        <v>1</v>
      </c>
      <c r="H477" t="s">
        <v>53</v>
      </c>
      <c r="I477">
        <v>0</v>
      </c>
      <c r="J477">
        <v>46214</v>
      </c>
      <c r="K477" t="s">
        <v>18</v>
      </c>
      <c r="L477" t="s">
        <v>23</v>
      </c>
      <c r="M477">
        <v>95</v>
      </c>
      <c r="N477">
        <f>MONTH(QHSE[[#This Row],[Date]])</f>
        <v>11</v>
      </c>
    </row>
    <row r="478" spans="1:14" x14ac:dyDescent="0.3">
      <c r="A478" t="s">
        <v>167</v>
      </c>
      <c r="B478" t="s">
        <v>168</v>
      </c>
      <c r="C478" s="13" t="s">
        <v>823</v>
      </c>
      <c r="D478" t="s">
        <v>14</v>
      </c>
      <c r="E478" t="s">
        <v>36</v>
      </c>
      <c r="F478" t="s">
        <v>28</v>
      </c>
      <c r="G478">
        <v>3</v>
      </c>
      <c r="H478" t="s">
        <v>17</v>
      </c>
      <c r="I478">
        <v>0</v>
      </c>
      <c r="J478">
        <v>804753</v>
      </c>
      <c r="K478" t="s">
        <v>30</v>
      </c>
      <c r="L478" t="s">
        <v>25</v>
      </c>
      <c r="M478">
        <v>98</v>
      </c>
      <c r="N478">
        <f>MONTH(QHSE[[#This Row],[Date]])</f>
        <v>12</v>
      </c>
    </row>
    <row r="479" spans="1:14" x14ac:dyDescent="0.3">
      <c r="A479" t="s">
        <v>169</v>
      </c>
      <c r="B479" t="s">
        <v>168</v>
      </c>
      <c r="C479" s="13" t="s">
        <v>823</v>
      </c>
      <c r="D479" t="s">
        <v>22</v>
      </c>
      <c r="E479" t="s">
        <v>23</v>
      </c>
      <c r="F479" t="s">
        <v>16</v>
      </c>
      <c r="G479">
        <v>3</v>
      </c>
      <c r="H479" t="s">
        <v>77</v>
      </c>
      <c r="I479">
        <v>5</v>
      </c>
      <c r="J479">
        <v>393445</v>
      </c>
      <c r="K479" t="s">
        <v>18</v>
      </c>
      <c r="L479" t="s">
        <v>19</v>
      </c>
      <c r="M479">
        <v>73</v>
      </c>
      <c r="N479">
        <f>MONTH(QHSE[[#This Row],[Date]])</f>
        <v>12</v>
      </c>
    </row>
    <row r="480" spans="1:14" x14ac:dyDescent="0.3">
      <c r="A480" t="s">
        <v>170</v>
      </c>
      <c r="B480" t="s">
        <v>171</v>
      </c>
      <c r="C480" s="13" t="s">
        <v>823</v>
      </c>
      <c r="D480" t="s">
        <v>58</v>
      </c>
      <c r="E480" t="s">
        <v>25</v>
      </c>
      <c r="F480" t="s">
        <v>45</v>
      </c>
      <c r="G480">
        <v>2</v>
      </c>
      <c r="H480" t="s">
        <v>24</v>
      </c>
      <c r="I480">
        <v>0</v>
      </c>
      <c r="J480">
        <v>172755</v>
      </c>
      <c r="K480" t="s">
        <v>41</v>
      </c>
      <c r="L480" t="s">
        <v>19</v>
      </c>
      <c r="M480">
        <v>86</v>
      </c>
      <c r="N480">
        <f>MONTH(QHSE[[#This Row],[Date]])</f>
        <v>12</v>
      </c>
    </row>
    <row r="481" spans="1:14" x14ac:dyDescent="0.3">
      <c r="A481" t="s">
        <v>172</v>
      </c>
      <c r="B481" t="s">
        <v>171</v>
      </c>
      <c r="C481" s="13" t="s">
        <v>823</v>
      </c>
      <c r="D481" t="s">
        <v>14</v>
      </c>
      <c r="E481" t="s">
        <v>15</v>
      </c>
      <c r="F481" t="s">
        <v>40</v>
      </c>
      <c r="G481">
        <v>2</v>
      </c>
      <c r="H481" t="s">
        <v>77</v>
      </c>
      <c r="I481">
        <v>0</v>
      </c>
      <c r="J481">
        <v>137101</v>
      </c>
      <c r="K481" t="s">
        <v>30</v>
      </c>
      <c r="L481" t="s">
        <v>31</v>
      </c>
      <c r="M481">
        <v>77</v>
      </c>
      <c r="N481">
        <f>MONTH(QHSE[[#This Row],[Date]])</f>
        <v>12</v>
      </c>
    </row>
    <row r="482" spans="1:14" x14ac:dyDescent="0.3">
      <c r="A482" t="s">
        <v>173</v>
      </c>
      <c r="B482" t="s">
        <v>171</v>
      </c>
      <c r="C482" s="13" t="s">
        <v>823</v>
      </c>
      <c r="D482" t="s">
        <v>22</v>
      </c>
      <c r="E482" t="s">
        <v>60</v>
      </c>
      <c r="F482" t="s">
        <v>28</v>
      </c>
      <c r="G482">
        <v>2</v>
      </c>
      <c r="H482" t="s">
        <v>96</v>
      </c>
      <c r="I482">
        <v>0</v>
      </c>
      <c r="J482">
        <v>165449</v>
      </c>
      <c r="K482" t="s">
        <v>30</v>
      </c>
      <c r="L482" t="s">
        <v>23</v>
      </c>
      <c r="M482">
        <v>89</v>
      </c>
      <c r="N482">
        <f>MONTH(QHSE[[#This Row],[Date]])</f>
        <v>12</v>
      </c>
    </row>
    <row r="483" spans="1:14" x14ac:dyDescent="0.3">
      <c r="A483" t="s">
        <v>174</v>
      </c>
      <c r="B483" t="s">
        <v>175</v>
      </c>
      <c r="C483" s="13" t="s">
        <v>823</v>
      </c>
      <c r="D483" t="s">
        <v>22</v>
      </c>
      <c r="E483" t="s">
        <v>39</v>
      </c>
      <c r="F483" t="s">
        <v>72</v>
      </c>
      <c r="G483">
        <v>3</v>
      </c>
      <c r="H483" t="s">
        <v>24</v>
      </c>
      <c r="I483">
        <v>0</v>
      </c>
      <c r="J483">
        <v>803551</v>
      </c>
      <c r="K483" t="s">
        <v>30</v>
      </c>
      <c r="L483" t="s">
        <v>19</v>
      </c>
      <c r="M483">
        <v>82</v>
      </c>
      <c r="N483">
        <f>MONTH(QHSE[[#This Row],[Date]])</f>
        <v>12</v>
      </c>
    </row>
    <row r="484" spans="1:14" x14ac:dyDescent="0.3">
      <c r="A484" t="s">
        <v>176</v>
      </c>
      <c r="B484" t="s">
        <v>177</v>
      </c>
      <c r="C484" s="13" t="s">
        <v>823</v>
      </c>
      <c r="D484" t="s">
        <v>33</v>
      </c>
      <c r="E484" t="s">
        <v>60</v>
      </c>
      <c r="F484" t="s">
        <v>37</v>
      </c>
      <c r="G484">
        <v>1</v>
      </c>
      <c r="H484" t="s">
        <v>29</v>
      </c>
      <c r="I484">
        <v>0</v>
      </c>
      <c r="J484">
        <v>42247</v>
      </c>
      <c r="K484" t="s">
        <v>30</v>
      </c>
      <c r="L484" t="s">
        <v>19</v>
      </c>
      <c r="M484">
        <v>76</v>
      </c>
      <c r="N484">
        <f>MONTH(QHSE[[#This Row],[Date]])</f>
        <v>12</v>
      </c>
    </row>
    <row r="485" spans="1:14" x14ac:dyDescent="0.3">
      <c r="A485" t="s">
        <v>178</v>
      </c>
      <c r="B485" t="s">
        <v>179</v>
      </c>
      <c r="C485" s="13" t="s">
        <v>823</v>
      </c>
      <c r="D485" t="s">
        <v>27</v>
      </c>
      <c r="E485" t="s">
        <v>25</v>
      </c>
      <c r="F485" t="s">
        <v>40</v>
      </c>
      <c r="G485">
        <v>1</v>
      </c>
      <c r="H485" t="s">
        <v>53</v>
      </c>
      <c r="I485">
        <v>0</v>
      </c>
      <c r="J485">
        <v>43749</v>
      </c>
      <c r="K485" t="s">
        <v>18</v>
      </c>
      <c r="L485" t="s">
        <v>46</v>
      </c>
      <c r="M485">
        <v>81</v>
      </c>
      <c r="N485">
        <f>MONTH(QHSE[[#This Row],[Date]])</f>
        <v>12</v>
      </c>
    </row>
    <row r="486" spans="1:14" x14ac:dyDescent="0.3">
      <c r="A486" t="s">
        <v>180</v>
      </c>
      <c r="B486" t="s">
        <v>181</v>
      </c>
      <c r="C486" s="13" t="s">
        <v>823</v>
      </c>
      <c r="D486" t="s">
        <v>27</v>
      </c>
      <c r="E486" t="s">
        <v>36</v>
      </c>
      <c r="F486" t="s">
        <v>40</v>
      </c>
      <c r="G486">
        <v>1</v>
      </c>
      <c r="H486" t="s">
        <v>29</v>
      </c>
      <c r="I486">
        <v>0</v>
      </c>
      <c r="J486">
        <v>20158</v>
      </c>
      <c r="K486" t="s">
        <v>18</v>
      </c>
      <c r="L486" t="s">
        <v>46</v>
      </c>
      <c r="M486">
        <v>79</v>
      </c>
      <c r="N486">
        <f>MONTH(QHSE[[#This Row],[Date]])</f>
        <v>12</v>
      </c>
    </row>
    <row r="487" spans="1:14" x14ac:dyDescent="0.3">
      <c r="A487" t="s">
        <v>182</v>
      </c>
      <c r="B487" t="s">
        <v>181</v>
      </c>
      <c r="C487" s="13" t="s">
        <v>823</v>
      </c>
      <c r="D487" t="s">
        <v>58</v>
      </c>
      <c r="E487" t="s">
        <v>60</v>
      </c>
      <c r="F487" t="s">
        <v>16</v>
      </c>
      <c r="G487">
        <v>4</v>
      </c>
      <c r="H487" t="s">
        <v>96</v>
      </c>
      <c r="I487">
        <v>4</v>
      </c>
      <c r="J487">
        <v>1124462</v>
      </c>
      <c r="K487" t="s">
        <v>101</v>
      </c>
      <c r="L487" t="s">
        <v>19</v>
      </c>
      <c r="M487">
        <v>79</v>
      </c>
      <c r="N487">
        <f>MONTH(QHSE[[#This Row],[Date]])</f>
        <v>12</v>
      </c>
    </row>
    <row r="488" spans="1:14" x14ac:dyDescent="0.3">
      <c r="A488" t="s">
        <v>183</v>
      </c>
      <c r="B488" t="s">
        <v>184</v>
      </c>
      <c r="C488" s="13" t="s">
        <v>823</v>
      </c>
      <c r="D488" t="s">
        <v>33</v>
      </c>
      <c r="E488" t="s">
        <v>23</v>
      </c>
      <c r="F488" t="s">
        <v>28</v>
      </c>
      <c r="G488">
        <v>2</v>
      </c>
      <c r="H488" t="s">
        <v>77</v>
      </c>
      <c r="I488">
        <v>0</v>
      </c>
      <c r="J488">
        <v>197858</v>
      </c>
      <c r="K488" t="s">
        <v>18</v>
      </c>
      <c r="L488" t="s">
        <v>31</v>
      </c>
      <c r="M488">
        <v>79</v>
      </c>
      <c r="N488">
        <f>MONTH(QHSE[[#This Row],[Date]])</f>
        <v>12</v>
      </c>
    </row>
    <row r="489" spans="1:14" x14ac:dyDescent="0.3">
      <c r="A489" t="s">
        <v>185</v>
      </c>
      <c r="B489" t="s">
        <v>186</v>
      </c>
      <c r="C489" s="13" t="s">
        <v>823</v>
      </c>
      <c r="D489" t="s">
        <v>33</v>
      </c>
      <c r="E489" t="s">
        <v>25</v>
      </c>
      <c r="F489" t="s">
        <v>40</v>
      </c>
      <c r="G489">
        <v>2</v>
      </c>
      <c r="H489" t="s">
        <v>24</v>
      </c>
      <c r="I489">
        <v>0</v>
      </c>
      <c r="J489">
        <v>71268</v>
      </c>
      <c r="K489" t="s">
        <v>30</v>
      </c>
      <c r="L489" t="s">
        <v>19</v>
      </c>
      <c r="M489">
        <v>77</v>
      </c>
      <c r="N489">
        <f>MONTH(QHSE[[#This Row],[Date]])</f>
        <v>12</v>
      </c>
    </row>
    <row r="490" spans="1:14" x14ac:dyDescent="0.3">
      <c r="A490" t="s">
        <v>187</v>
      </c>
      <c r="B490" t="s">
        <v>188</v>
      </c>
      <c r="C490" s="13" t="s">
        <v>823</v>
      </c>
      <c r="D490" t="s">
        <v>14</v>
      </c>
      <c r="E490" t="s">
        <v>36</v>
      </c>
      <c r="F490" t="s">
        <v>16</v>
      </c>
      <c r="G490">
        <v>4</v>
      </c>
      <c r="H490" t="s">
        <v>29</v>
      </c>
      <c r="I490">
        <v>10</v>
      </c>
      <c r="J490">
        <v>2259678</v>
      </c>
      <c r="K490" t="s">
        <v>101</v>
      </c>
      <c r="L490" t="s">
        <v>25</v>
      </c>
      <c r="M490">
        <v>81</v>
      </c>
      <c r="N490">
        <f>MONTH(QHSE[[#This Row],[Date]])</f>
        <v>12</v>
      </c>
    </row>
    <row r="491" spans="1:14" x14ac:dyDescent="0.3">
      <c r="A491" t="s">
        <v>189</v>
      </c>
      <c r="B491" t="s">
        <v>190</v>
      </c>
      <c r="C491" s="13" t="s">
        <v>823</v>
      </c>
      <c r="D491" t="s">
        <v>27</v>
      </c>
      <c r="E491" t="s">
        <v>39</v>
      </c>
      <c r="F491" t="s">
        <v>37</v>
      </c>
      <c r="G491">
        <v>1</v>
      </c>
      <c r="H491" t="s">
        <v>29</v>
      </c>
      <c r="I491">
        <v>0</v>
      </c>
      <c r="J491">
        <v>10152</v>
      </c>
      <c r="K491" t="s">
        <v>18</v>
      </c>
      <c r="L491" t="s">
        <v>23</v>
      </c>
      <c r="M491">
        <v>96</v>
      </c>
      <c r="N491">
        <f>MONTH(QHSE[[#This Row],[Date]])</f>
        <v>12</v>
      </c>
    </row>
    <row r="492" spans="1:14" x14ac:dyDescent="0.3">
      <c r="A492" t="s">
        <v>191</v>
      </c>
      <c r="B492" t="s">
        <v>190</v>
      </c>
      <c r="C492" s="13" t="s">
        <v>823</v>
      </c>
      <c r="D492" t="s">
        <v>22</v>
      </c>
      <c r="E492" t="s">
        <v>36</v>
      </c>
      <c r="F492" t="s">
        <v>16</v>
      </c>
      <c r="G492">
        <v>4</v>
      </c>
      <c r="H492" t="s">
        <v>77</v>
      </c>
      <c r="I492">
        <v>9</v>
      </c>
      <c r="J492">
        <v>3726677</v>
      </c>
      <c r="K492" t="s">
        <v>30</v>
      </c>
      <c r="L492" t="s">
        <v>31</v>
      </c>
      <c r="M492">
        <v>73</v>
      </c>
      <c r="N492">
        <f>MONTH(QHSE[[#This Row],[Date]])</f>
        <v>12</v>
      </c>
    </row>
    <row r="493" spans="1:14" x14ac:dyDescent="0.3">
      <c r="A493" t="s">
        <v>192</v>
      </c>
      <c r="B493" t="s">
        <v>190</v>
      </c>
      <c r="C493" s="13" t="s">
        <v>823</v>
      </c>
      <c r="D493" t="s">
        <v>14</v>
      </c>
      <c r="E493" t="s">
        <v>23</v>
      </c>
      <c r="F493" t="s">
        <v>45</v>
      </c>
      <c r="G493">
        <v>1</v>
      </c>
      <c r="H493" t="s">
        <v>24</v>
      </c>
      <c r="I493">
        <v>0</v>
      </c>
      <c r="J493">
        <v>16685</v>
      </c>
      <c r="K493" t="s">
        <v>18</v>
      </c>
      <c r="L493" t="s">
        <v>25</v>
      </c>
      <c r="M493">
        <v>84</v>
      </c>
      <c r="N493">
        <f>MONTH(QHSE[[#This Row],[Date]])</f>
        <v>12</v>
      </c>
    </row>
    <row r="494" spans="1:14" x14ac:dyDescent="0.3">
      <c r="A494" t="s">
        <v>193</v>
      </c>
      <c r="B494" t="s">
        <v>194</v>
      </c>
      <c r="C494" s="13" t="s">
        <v>823</v>
      </c>
      <c r="D494" t="s">
        <v>27</v>
      </c>
      <c r="E494" t="s">
        <v>25</v>
      </c>
      <c r="F494" t="s">
        <v>40</v>
      </c>
      <c r="G494">
        <v>2</v>
      </c>
      <c r="H494" t="s">
        <v>53</v>
      </c>
      <c r="I494">
        <v>0</v>
      </c>
      <c r="J494">
        <v>181056</v>
      </c>
      <c r="K494" t="s">
        <v>18</v>
      </c>
      <c r="L494" t="s">
        <v>31</v>
      </c>
      <c r="M494">
        <v>90</v>
      </c>
      <c r="N494">
        <f>MONTH(QHSE[[#This Row],[Date]])</f>
        <v>12</v>
      </c>
    </row>
    <row r="495" spans="1:14" x14ac:dyDescent="0.3">
      <c r="A495" t="s">
        <v>195</v>
      </c>
      <c r="B495" t="s">
        <v>194</v>
      </c>
      <c r="C495" s="13" t="s">
        <v>823</v>
      </c>
      <c r="D495" t="s">
        <v>27</v>
      </c>
      <c r="E495" t="s">
        <v>39</v>
      </c>
      <c r="F495" t="s">
        <v>40</v>
      </c>
      <c r="G495">
        <v>1</v>
      </c>
      <c r="H495" t="s">
        <v>77</v>
      </c>
      <c r="I495">
        <v>0</v>
      </c>
      <c r="J495">
        <v>49669</v>
      </c>
      <c r="K495" t="s">
        <v>18</v>
      </c>
      <c r="L495" t="s">
        <v>25</v>
      </c>
      <c r="M495">
        <v>91</v>
      </c>
      <c r="N495">
        <f>MONTH(QHSE[[#This Row],[Date]])</f>
        <v>12</v>
      </c>
    </row>
    <row r="496" spans="1:14" x14ac:dyDescent="0.3">
      <c r="A496" t="s">
        <v>196</v>
      </c>
      <c r="B496" t="s">
        <v>197</v>
      </c>
      <c r="C496" s="13" t="s">
        <v>823</v>
      </c>
      <c r="D496" t="s">
        <v>58</v>
      </c>
      <c r="E496" t="s">
        <v>23</v>
      </c>
      <c r="F496" t="s">
        <v>72</v>
      </c>
      <c r="G496">
        <v>3</v>
      </c>
      <c r="H496" t="s">
        <v>29</v>
      </c>
      <c r="I496">
        <v>0</v>
      </c>
      <c r="J496">
        <v>304503</v>
      </c>
      <c r="K496" t="s">
        <v>18</v>
      </c>
      <c r="L496" t="s">
        <v>23</v>
      </c>
      <c r="M496">
        <v>85</v>
      </c>
      <c r="N496">
        <f>MONTH(QHSE[[#This Row],[Date]])</f>
        <v>12</v>
      </c>
    </row>
    <row r="497" spans="1:14" x14ac:dyDescent="0.3">
      <c r="A497" t="s">
        <v>198</v>
      </c>
      <c r="B497" t="s">
        <v>199</v>
      </c>
      <c r="C497" s="13" t="s">
        <v>823</v>
      </c>
      <c r="D497" t="s">
        <v>22</v>
      </c>
      <c r="E497" t="s">
        <v>36</v>
      </c>
      <c r="F497" t="s">
        <v>72</v>
      </c>
      <c r="G497">
        <v>3</v>
      </c>
      <c r="H497" t="s">
        <v>53</v>
      </c>
      <c r="I497">
        <v>0</v>
      </c>
      <c r="J497">
        <v>307808</v>
      </c>
      <c r="K497" t="s">
        <v>30</v>
      </c>
      <c r="L497" t="s">
        <v>23</v>
      </c>
      <c r="M497">
        <v>82</v>
      </c>
      <c r="N497">
        <f>MONTH(QHSE[[#This Row],[Date]])</f>
        <v>12</v>
      </c>
    </row>
    <row r="498" spans="1:14" x14ac:dyDescent="0.3">
      <c r="A498" t="s">
        <v>200</v>
      </c>
      <c r="B498" t="s">
        <v>199</v>
      </c>
      <c r="C498" s="13" t="s">
        <v>823</v>
      </c>
      <c r="D498" t="s">
        <v>27</v>
      </c>
      <c r="E498" t="s">
        <v>23</v>
      </c>
      <c r="F498" t="s">
        <v>40</v>
      </c>
      <c r="G498">
        <v>2</v>
      </c>
      <c r="H498" t="s">
        <v>53</v>
      </c>
      <c r="I498">
        <v>0</v>
      </c>
      <c r="J498">
        <v>118076</v>
      </c>
      <c r="K498" t="s">
        <v>41</v>
      </c>
      <c r="L498" t="s">
        <v>46</v>
      </c>
      <c r="M498">
        <v>77</v>
      </c>
      <c r="N498">
        <f>MONTH(QHSE[[#This Row],[Date]])</f>
        <v>12</v>
      </c>
    </row>
    <row r="499" spans="1:14" x14ac:dyDescent="0.3">
      <c r="A499" t="s">
        <v>201</v>
      </c>
      <c r="B499" t="s">
        <v>202</v>
      </c>
      <c r="C499" s="13" t="s">
        <v>823</v>
      </c>
      <c r="D499" t="s">
        <v>22</v>
      </c>
      <c r="E499" t="s">
        <v>25</v>
      </c>
      <c r="F499" t="s">
        <v>37</v>
      </c>
      <c r="G499">
        <v>1</v>
      </c>
      <c r="H499" t="s">
        <v>77</v>
      </c>
      <c r="I499">
        <v>0</v>
      </c>
      <c r="J499">
        <v>44655</v>
      </c>
      <c r="K499" t="s">
        <v>30</v>
      </c>
      <c r="L499" t="s">
        <v>25</v>
      </c>
      <c r="M499">
        <v>80</v>
      </c>
      <c r="N499">
        <f>MONTH(QHSE[[#This Row],[Date]])</f>
        <v>12</v>
      </c>
    </row>
    <row r="500" spans="1:14" x14ac:dyDescent="0.3">
      <c r="A500" t="s">
        <v>203</v>
      </c>
      <c r="B500" t="s">
        <v>202</v>
      </c>
      <c r="C500" s="13" t="s">
        <v>823</v>
      </c>
      <c r="D500" t="s">
        <v>27</v>
      </c>
      <c r="E500" t="s">
        <v>15</v>
      </c>
      <c r="F500" t="s">
        <v>45</v>
      </c>
      <c r="G500">
        <v>1</v>
      </c>
      <c r="H500" t="s">
        <v>29</v>
      </c>
      <c r="I500">
        <v>0</v>
      </c>
      <c r="J500">
        <v>18621</v>
      </c>
      <c r="K500" t="s">
        <v>18</v>
      </c>
      <c r="L500" t="s">
        <v>46</v>
      </c>
      <c r="M500">
        <v>73</v>
      </c>
      <c r="N500">
        <f>MONTH(QHSE[[#This Row],[Date]])</f>
        <v>12</v>
      </c>
    </row>
    <row r="501" spans="1:14" x14ac:dyDescent="0.3">
      <c r="A501" t="s">
        <v>204</v>
      </c>
      <c r="B501" t="s">
        <v>202</v>
      </c>
      <c r="C501" s="13" t="s">
        <v>823</v>
      </c>
      <c r="D501" t="s">
        <v>22</v>
      </c>
      <c r="E501" t="s">
        <v>23</v>
      </c>
      <c r="F501" t="s">
        <v>28</v>
      </c>
      <c r="G501">
        <v>3</v>
      </c>
      <c r="H501" t="s">
        <v>96</v>
      </c>
      <c r="I501">
        <v>0</v>
      </c>
      <c r="J501">
        <v>520283</v>
      </c>
      <c r="K501" t="s">
        <v>18</v>
      </c>
      <c r="L501" t="s">
        <v>25</v>
      </c>
      <c r="M501">
        <v>76</v>
      </c>
      <c r="N501">
        <f>MONTH(QHSE[[#This Row],[Date]])</f>
        <v>12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2DEE-CB9D-46F4-B993-FBF9DEF8827A}">
  <sheetPr>
    <tabColor theme="3" tint="-0.249977111117893"/>
  </sheetPr>
  <dimension ref="A1"/>
  <sheetViews>
    <sheetView tabSelected="1" workbookViewId="0"/>
  </sheetViews>
  <sheetFormatPr baseColWidth="10" defaultRowHeight="14.4" x14ac:dyDescent="0.3"/>
  <cols>
    <col min="1" max="16384" width="11.5546875" style="9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AC12-A982-47D8-AAD6-085B36BA6FE4}">
  <dimension ref="A3:H37"/>
  <sheetViews>
    <sheetView topLeftCell="A6" workbookViewId="0"/>
  </sheetViews>
  <sheetFormatPr baseColWidth="10" defaultRowHeight="14.4" x14ac:dyDescent="0.3"/>
  <cols>
    <col min="1" max="1" width="19.5546875" bestFit="1" customWidth="1"/>
    <col min="2" max="2" width="20.109375" bestFit="1" customWidth="1"/>
    <col min="3" max="4" width="19.5546875" bestFit="1" customWidth="1"/>
    <col min="5" max="5" width="22.6640625" bestFit="1" customWidth="1"/>
    <col min="6" max="6" width="10.33203125" bestFit="1" customWidth="1"/>
    <col min="7" max="7" width="29.77734375" bestFit="1" customWidth="1"/>
    <col min="8" max="8" width="21.77734375" bestFit="1" customWidth="1"/>
    <col min="9" max="268" width="10.33203125" bestFit="1" customWidth="1"/>
    <col min="269" max="269" width="11.88671875" bestFit="1" customWidth="1"/>
  </cols>
  <sheetData>
    <row r="3" spans="1:8" x14ac:dyDescent="0.3">
      <c r="A3" t="s">
        <v>810</v>
      </c>
      <c r="C3" s="2" t="s">
        <v>815</v>
      </c>
      <c r="D3" t="s">
        <v>818</v>
      </c>
      <c r="G3" s="2" t="s">
        <v>815</v>
      </c>
      <c r="H3" t="s">
        <v>812</v>
      </c>
    </row>
    <row r="4" spans="1:8" x14ac:dyDescent="0.3">
      <c r="A4" s="4">
        <v>500</v>
      </c>
      <c r="C4" s="6" t="s">
        <v>16</v>
      </c>
      <c r="D4" s="7">
        <v>247</v>
      </c>
      <c r="E4">
        <f>GETPIVOTDATA("Gravite",$C$3,"Type_Evenement","Accident du Travail (avec arrêt)")</f>
        <v>247</v>
      </c>
      <c r="G4" s="3" t="s">
        <v>16</v>
      </c>
      <c r="H4" s="11">
        <v>108626892</v>
      </c>
    </row>
    <row r="5" spans="1:8" x14ac:dyDescent="0.3">
      <c r="A5">
        <f>GETPIVOTDATA("Type_Evenement",$A$3)</f>
        <v>500</v>
      </c>
      <c r="C5" s="3" t="s">
        <v>37</v>
      </c>
      <c r="D5" s="4">
        <v>89</v>
      </c>
      <c r="G5" s="3" t="s">
        <v>37</v>
      </c>
      <c r="H5" s="11">
        <v>4881833</v>
      </c>
    </row>
    <row r="6" spans="1:8" x14ac:dyDescent="0.3">
      <c r="C6" s="3" t="s">
        <v>28</v>
      </c>
      <c r="D6" s="4">
        <v>191</v>
      </c>
      <c r="G6" s="3" t="s">
        <v>28</v>
      </c>
      <c r="H6" s="11">
        <v>29047246</v>
      </c>
    </row>
    <row r="7" spans="1:8" x14ac:dyDescent="0.3">
      <c r="C7" s="3" t="s">
        <v>72</v>
      </c>
      <c r="D7" s="4">
        <v>126</v>
      </c>
      <c r="G7" s="3" t="s">
        <v>72</v>
      </c>
      <c r="H7" s="11">
        <v>16140178</v>
      </c>
    </row>
    <row r="8" spans="1:8" x14ac:dyDescent="0.3">
      <c r="C8" s="3" t="s">
        <v>40</v>
      </c>
      <c r="D8" s="4">
        <v>219</v>
      </c>
      <c r="G8" s="3" t="s">
        <v>40</v>
      </c>
      <c r="H8" s="11">
        <v>12251825</v>
      </c>
    </row>
    <row r="9" spans="1:8" x14ac:dyDescent="0.3">
      <c r="C9" s="3" t="s">
        <v>45</v>
      </c>
      <c r="D9" s="4">
        <v>119</v>
      </c>
      <c r="G9" s="3" t="s">
        <v>45</v>
      </c>
      <c r="H9" s="11">
        <v>7401943</v>
      </c>
    </row>
    <row r="10" spans="1:8" x14ac:dyDescent="0.3">
      <c r="A10" t="s">
        <v>811</v>
      </c>
      <c r="C10" s="3" t="s">
        <v>816</v>
      </c>
      <c r="D10" s="4">
        <v>991</v>
      </c>
      <c r="G10" s="3" t="s">
        <v>816</v>
      </c>
      <c r="H10" s="4">
        <v>178349917</v>
      </c>
    </row>
    <row r="11" spans="1:8" x14ac:dyDescent="0.3">
      <c r="A11" s="4">
        <v>562</v>
      </c>
    </row>
    <row r="12" spans="1:8" x14ac:dyDescent="0.3">
      <c r="A12">
        <f>GETPIVOTDATA("Jours_Arret",$A$10)</f>
        <v>562</v>
      </c>
      <c r="H12" s="11">
        <f>GETPIVOTDATA("Cout_Estime_FCFA",$G$3)</f>
        <v>178349917</v>
      </c>
    </row>
    <row r="14" spans="1:8" x14ac:dyDescent="0.3">
      <c r="A14" s="2" t="s">
        <v>815</v>
      </c>
      <c r="B14" t="s">
        <v>813</v>
      </c>
      <c r="D14" s="2" t="s">
        <v>815</v>
      </c>
      <c r="E14" t="s">
        <v>820</v>
      </c>
      <c r="G14" s="2" t="s">
        <v>815</v>
      </c>
      <c r="H14" t="s">
        <v>817</v>
      </c>
    </row>
    <row r="15" spans="1:8" x14ac:dyDescent="0.3">
      <c r="A15" s="3" t="s">
        <v>33</v>
      </c>
      <c r="B15" s="10">
        <v>81.791666666666671</v>
      </c>
      <c r="D15" s="3" t="s">
        <v>18</v>
      </c>
      <c r="E15" s="4">
        <v>290</v>
      </c>
      <c r="G15" s="3" t="s">
        <v>15</v>
      </c>
      <c r="H15" s="4">
        <v>94</v>
      </c>
    </row>
    <row r="16" spans="1:8" x14ac:dyDescent="0.3">
      <c r="A16" s="3" t="s">
        <v>27</v>
      </c>
      <c r="B16" s="10">
        <v>81.753846153846155</v>
      </c>
      <c r="D16" s="3" t="s">
        <v>30</v>
      </c>
      <c r="E16" s="4">
        <v>103</v>
      </c>
      <c r="G16" s="3" t="s">
        <v>60</v>
      </c>
      <c r="H16" s="4">
        <v>65</v>
      </c>
    </row>
    <row r="17" spans="1:8" x14ac:dyDescent="0.3">
      <c r="A17" s="3" t="s">
        <v>14</v>
      </c>
      <c r="B17" s="10">
        <v>83.465909090909093</v>
      </c>
      <c r="D17" s="3" t="s">
        <v>101</v>
      </c>
      <c r="E17" s="4">
        <v>43</v>
      </c>
      <c r="G17" s="3" t="s">
        <v>39</v>
      </c>
      <c r="H17" s="4">
        <v>88</v>
      </c>
    </row>
    <row r="18" spans="1:8" ht="3.6" customHeight="1" x14ac:dyDescent="0.3">
      <c r="A18" s="3" t="s">
        <v>58</v>
      </c>
      <c r="B18" s="10">
        <v>83.06557377049181</v>
      </c>
      <c r="D18" s="3" t="s">
        <v>41</v>
      </c>
      <c r="E18" s="4">
        <v>64</v>
      </c>
      <c r="G18" s="3" t="s">
        <v>25</v>
      </c>
      <c r="H18" s="4">
        <v>93</v>
      </c>
    </row>
    <row r="19" spans="1:8" x14ac:dyDescent="0.3">
      <c r="A19" s="3" t="s">
        <v>22</v>
      </c>
      <c r="B19" s="10">
        <v>82.173410404624278</v>
      </c>
      <c r="D19" s="3" t="s">
        <v>816</v>
      </c>
      <c r="E19" s="4">
        <v>500</v>
      </c>
      <c r="G19" s="3" t="s">
        <v>23</v>
      </c>
      <c r="H19" s="4">
        <v>85</v>
      </c>
    </row>
    <row r="20" spans="1:8" x14ac:dyDescent="0.3">
      <c r="A20" s="3" t="s">
        <v>816</v>
      </c>
      <c r="B20" s="4">
        <v>82.364000000000004</v>
      </c>
      <c r="G20" s="3" t="s">
        <v>36</v>
      </c>
      <c r="H20" s="4">
        <v>75</v>
      </c>
    </row>
    <row r="21" spans="1:8" x14ac:dyDescent="0.3">
      <c r="A21" s="3"/>
      <c r="B21" s="5">
        <f>GETPIVOTDATA("Score_Audit_5S",$A$14)</f>
        <v>82.364000000000004</v>
      </c>
      <c r="C21" s="8" t="s">
        <v>814</v>
      </c>
      <c r="D21">
        <f>COUNTIF(Base_Incidents_QHSE!K2:K501, "Clôturée") / COUNTA(Base_Incidents_QHSE!K2:K501)</f>
        <v>0.57999999999999996</v>
      </c>
      <c r="G21" s="3" t="s">
        <v>816</v>
      </c>
      <c r="H21" s="4">
        <v>500</v>
      </c>
    </row>
    <row r="22" spans="1:8" x14ac:dyDescent="0.3">
      <c r="D22">
        <f>D21</f>
        <v>0.57999999999999996</v>
      </c>
    </row>
    <row r="23" spans="1:8" x14ac:dyDescent="0.3">
      <c r="A23" s="2" t="s">
        <v>815</v>
      </c>
      <c r="B23" t="s">
        <v>819</v>
      </c>
    </row>
    <row r="24" spans="1:8" x14ac:dyDescent="0.3">
      <c r="A24" s="3" t="s">
        <v>824</v>
      </c>
      <c r="B24" s="4">
        <v>58</v>
      </c>
      <c r="C24" s="2" t="s">
        <v>815</v>
      </c>
      <c r="D24" s="2" t="s">
        <v>815</v>
      </c>
    </row>
    <row r="25" spans="1:8" x14ac:dyDescent="0.3">
      <c r="A25" s="3" t="s">
        <v>825</v>
      </c>
      <c r="B25" s="4">
        <v>55</v>
      </c>
      <c r="C25" s="3" t="s">
        <v>824</v>
      </c>
      <c r="D25" s="3" t="s">
        <v>824</v>
      </c>
    </row>
    <row r="26" spans="1:8" x14ac:dyDescent="0.3">
      <c r="A26" s="3" t="s">
        <v>826</v>
      </c>
      <c r="B26" s="4">
        <v>33</v>
      </c>
      <c r="C26" s="3" t="s">
        <v>825</v>
      </c>
      <c r="D26" s="3" t="s">
        <v>825</v>
      </c>
    </row>
    <row r="27" spans="1:8" x14ac:dyDescent="0.3">
      <c r="A27" s="3" t="s">
        <v>827</v>
      </c>
      <c r="B27" s="4">
        <v>28</v>
      </c>
      <c r="C27" s="3" t="s">
        <v>826</v>
      </c>
      <c r="D27" s="3" t="s">
        <v>826</v>
      </c>
    </row>
    <row r="28" spans="1:8" x14ac:dyDescent="0.3">
      <c r="A28" s="3" t="s">
        <v>828</v>
      </c>
      <c r="B28" s="4">
        <v>80</v>
      </c>
      <c r="C28" s="3" t="s">
        <v>827</v>
      </c>
      <c r="D28" s="3" t="s">
        <v>827</v>
      </c>
    </row>
    <row r="29" spans="1:8" x14ac:dyDescent="0.3">
      <c r="A29" s="3" t="s">
        <v>829</v>
      </c>
      <c r="B29" s="4">
        <v>45</v>
      </c>
      <c r="C29" s="3" t="s">
        <v>828</v>
      </c>
      <c r="D29" s="3" t="s">
        <v>828</v>
      </c>
    </row>
    <row r="30" spans="1:8" x14ac:dyDescent="0.3">
      <c r="A30" s="3" t="s">
        <v>830</v>
      </c>
      <c r="B30" s="4">
        <v>63</v>
      </c>
      <c r="C30" s="3" t="s">
        <v>829</v>
      </c>
      <c r="D30" s="3" t="s">
        <v>829</v>
      </c>
    </row>
    <row r="31" spans="1:8" x14ac:dyDescent="0.3">
      <c r="A31" s="3" t="s">
        <v>831</v>
      </c>
      <c r="B31" s="4">
        <v>49</v>
      </c>
      <c r="C31" s="3" t="s">
        <v>830</v>
      </c>
      <c r="D31" s="3" t="s">
        <v>830</v>
      </c>
    </row>
    <row r="32" spans="1:8" x14ac:dyDescent="0.3">
      <c r="A32" s="3" t="s">
        <v>832</v>
      </c>
      <c r="B32" s="4">
        <v>33</v>
      </c>
      <c r="C32" s="3" t="s">
        <v>831</v>
      </c>
      <c r="D32" s="3" t="s">
        <v>831</v>
      </c>
    </row>
    <row r="33" spans="1:4" x14ac:dyDescent="0.3">
      <c r="A33" s="3" t="s">
        <v>821</v>
      </c>
      <c r="B33" s="4">
        <v>44</v>
      </c>
      <c r="C33" s="3" t="s">
        <v>832</v>
      </c>
      <c r="D33" s="3" t="s">
        <v>832</v>
      </c>
    </row>
    <row r="34" spans="1:4" x14ac:dyDescent="0.3">
      <c r="A34" s="3" t="s">
        <v>822</v>
      </c>
      <c r="B34" s="4">
        <v>46</v>
      </c>
      <c r="C34" s="3" t="s">
        <v>821</v>
      </c>
      <c r="D34" s="3" t="s">
        <v>821</v>
      </c>
    </row>
    <row r="35" spans="1:4" x14ac:dyDescent="0.3">
      <c r="A35" s="3" t="s">
        <v>823</v>
      </c>
      <c r="B35" s="4">
        <v>28</v>
      </c>
      <c r="C35" s="3" t="s">
        <v>822</v>
      </c>
      <c r="D35" s="3" t="s">
        <v>822</v>
      </c>
    </row>
    <row r="36" spans="1:4" x14ac:dyDescent="0.3">
      <c r="A36" s="3" t="s">
        <v>816</v>
      </c>
      <c r="B36" s="4">
        <v>562</v>
      </c>
      <c r="C36" s="3" t="s">
        <v>823</v>
      </c>
      <c r="D36" s="3" t="s">
        <v>823</v>
      </c>
    </row>
    <row r="37" spans="1:4" x14ac:dyDescent="0.3">
      <c r="C37" s="3" t="s">
        <v>816</v>
      </c>
      <c r="D37" s="3" t="s">
        <v>816</v>
      </c>
    </row>
  </sheetData>
  <sortState xmlns:xlrd2="http://schemas.microsoft.com/office/spreadsheetml/2017/richdata2" ref="C24:C38">
    <sortCondition descending="1" ref="C25" customList="janvier,février,mars,avril,mai,juin,juillet,août,septembre,octobre,novembre,décembre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Base_Incidents_QHSE</vt:lpstr>
      <vt:lpstr>Tableau de bord</vt:lpstr>
      <vt:lpstr>TCD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Adingra K</cp:lastModifiedBy>
  <dcterms:created xsi:type="dcterms:W3CDTF">2026-10-01T17:11:53Z</dcterms:created>
  <dcterms:modified xsi:type="dcterms:W3CDTF">2026-10-03T17:56:15Z</dcterms:modified>
</cp:coreProperties>
</file>